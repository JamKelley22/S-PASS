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rkk\Desktop\Kijung\CoolSlice\"/>
    </mc:Choice>
  </mc:AlternateContent>
  <bookViews>
    <workbookView xWindow="0" yWindow="0" windowWidth="15336" windowHeight="6684" activeTab="5" xr2:uid="{00000000-000D-0000-FFFF-FFFF00000000}"/>
  </bookViews>
  <sheets>
    <sheet name="Phase1_Input" sheetId="1" r:id="rId1"/>
    <sheet name="Phase1_Output" sheetId="3" r:id="rId2"/>
    <sheet name="Phase2_Input" sheetId="5" r:id="rId3"/>
    <sheet name="Phase2_Output" sheetId="6" r:id="rId4"/>
    <sheet name="Phase3_Input" sheetId="7" r:id="rId5"/>
    <sheet name="Phase3_Output" sheetId="8" r:id="rId6"/>
  </sheets>
  <functionGroups builtInGroupCount="19"/>
  <externalReferences>
    <externalReference r:id="rId7"/>
  </externalReferences>
  <definedNames>
    <definedName name="_xlnm._FilterDatabase" localSheetId="4" hidden="1">Phase3_Input!$C$12:$K$21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7" l="1"/>
  <c r="S36" i="7"/>
  <c r="Q36" i="7"/>
  <c r="Q37" i="7" a="1"/>
  <c r="Q37" i="7" s="1"/>
  <c r="X14" i="7"/>
  <c r="Y14" i="7"/>
  <c r="X15" i="7"/>
  <c r="Y15" i="7"/>
  <c r="X16" i="7"/>
  <c r="Y16" i="7"/>
  <c r="X17" i="7"/>
  <c r="Y17" i="7"/>
  <c r="X18" i="7"/>
  <c r="Y18" i="7"/>
  <c r="X19" i="7"/>
  <c r="Y19" i="7"/>
  <c r="X20" i="7"/>
  <c r="Y20" i="7"/>
  <c r="X13" i="7"/>
  <c r="Y13" i="7"/>
  <c r="Q12" i="7"/>
  <c r="R12" i="7"/>
  <c r="S12" i="7"/>
  <c r="T12" i="7"/>
  <c r="U12" i="7"/>
  <c r="V12" i="7"/>
  <c r="W12" i="7"/>
  <c r="X12" i="7"/>
  <c r="Y12" i="7"/>
  <c r="P12" i="7"/>
  <c r="C37" i="7" a="1"/>
  <c r="C40" i="7" s="1"/>
  <c r="L25" i="7"/>
  <c r="M25" i="7"/>
  <c r="J25" i="7"/>
  <c r="Q42" i="7" l="1"/>
  <c r="R39" i="7"/>
  <c r="E37" i="8" s="1"/>
  <c r="R40" i="7"/>
  <c r="E38" i="8" s="1"/>
  <c r="Q39" i="7"/>
  <c r="S37" i="7"/>
  <c r="F35" i="8" s="1"/>
  <c r="S42" i="7"/>
  <c r="F40" i="8" s="1"/>
  <c r="R41" i="7"/>
  <c r="E39" i="8" s="1"/>
  <c r="Q40" i="7"/>
  <c r="S38" i="7"/>
  <c r="F36" i="8" s="1"/>
  <c r="R37" i="7"/>
  <c r="S40" i="7"/>
  <c r="F38" i="8" s="1"/>
  <c r="Q38" i="7"/>
  <c r="S41" i="7"/>
  <c r="F39" i="8" s="1"/>
  <c r="R42" i="7"/>
  <c r="E40" i="8" s="1"/>
  <c r="Q41" i="7"/>
  <c r="S39" i="7"/>
  <c r="F37" i="8" s="1"/>
  <c r="R38" i="7"/>
  <c r="E36" i="8" s="1"/>
  <c r="C39" i="7"/>
  <c r="C44" i="7"/>
  <c r="C43" i="7"/>
  <c r="C46" i="7"/>
  <c r="C42" i="7"/>
  <c r="C38" i="7"/>
  <c r="C45" i="7"/>
  <c r="C41" i="7"/>
  <c r="C37" i="7"/>
  <c r="H60" i="5"/>
  <c r="C59" i="5"/>
  <c r="I59" i="5" s="1"/>
  <c r="C60" i="5"/>
  <c r="D28" i="6" s="1"/>
  <c r="D59" i="5"/>
  <c r="E59" i="5" s="1"/>
  <c r="D60" i="5"/>
  <c r="E60" i="5" s="1"/>
  <c r="J60" i="5" l="1"/>
  <c r="D27" i="6"/>
  <c r="F60" i="5"/>
  <c r="F59" i="5"/>
  <c r="H59" i="5"/>
  <c r="J59" i="5"/>
  <c r="C28" i="6"/>
  <c r="F28" i="6" s="1"/>
  <c r="G60" i="5"/>
  <c r="I60" i="5"/>
  <c r="C27" i="6"/>
  <c r="F27" i="6" s="1"/>
  <c r="G59" i="5"/>
  <c r="M14" i="1"/>
  <c r="M15" i="1"/>
  <c r="M16" i="1"/>
  <c r="M17" i="1"/>
  <c r="M18" i="1"/>
  <c r="M13" i="1"/>
  <c r="E28" i="6" l="1"/>
  <c r="E27" i="6"/>
  <c r="D35" i="8"/>
  <c r="Q13" i="7"/>
  <c r="R13" i="7"/>
  <c r="S13" i="7"/>
  <c r="T13" i="7"/>
  <c r="U13" i="7"/>
  <c r="V13" i="7"/>
  <c r="W13" i="7"/>
  <c r="Q14" i="7"/>
  <c r="R14" i="7"/>
  <c r="S14" i="7"/>
  <c r="T14" i="7"/>
  <c r="U14" i="7"/>
  <c r="V14" i="7"/>
  <c r="W14" i="7"/>
  <c r="Q15" i="7"/>
  <c r="R15" i="7"/>
  <c r="S15" i="7"/>
  <c r="T15" i="7"/>
  <c r="U15" i="7"/>
  <c r="V15" i="7"/>
  <c r="W15" i="7"/>
  <c r="Q16" i="7"/>
  <c r="R16" i="7"/>
  <c r="S16" i="7"/>
  <c r="T16" i="7"/>
  <c r="U16" i="7"/>
  <c r="V16" i="7"/>
  <c r="W16" i="7"/>
  <c r="Q17" i="7"/>
  <c r="R17" i="7"/>
  <c r="S17" i="7"/>
  <c r="T17" i="7"/>
  <c r="U17" i="7"/>
  <c r="V17" i="7"/>
  <c r="W17" i="7"/>
  <c r="Q18" i="7"/>
  <c r="R18" i="7"/>
  <c r="S18" i="7"/>
  <c r="T18" i="7"/>
  <c r="U18" i="7"/>
  <c r="V18" i="7"/>
  <c r="W18" i="7"/>
  <c r="Q19" i="7"/>
  <c r="R19" i="7"/>
  <c r="S19" i="7"/>
  <c r="T19" i="7"/>
  <c r="U19" i="7"/>
  <c r="V19" i="7"/>
  <c r="W19" i="7"/>
  <c r="Q20" i="7"/>
  <c r="R20" i="7"/>
  <c r="S20" i="7"/>
  <c r="T20" i="7"/>
  <c r="U20" i="7"/>
  <c r="V20" i="7"/>
  <c r="W20" i="7"/>
  <c r="P14" i="7"/>
  <c r="P15" i="7"/>
  <c r="P16" i="7"/>
  <c r="P17" i="7"/>
  <c r="P18" i="7"/>
  <c r="P19" i="7"/>
  <c r="P20" i="7"/>
  <c r="P13" i="7"/>
  <c r="D11" i="8" s="1" a="1"/>
  <c r="D11" i="8" l="1"/>
  <c r="E18" i="8"/>
  <c r="D13" i="8"/>
  <c r="D16" i="8"/>
  <c r="D18" i="8"/>
  <c r="F12" i="8"/>
  <c r="D15" i="8"/>
  <c r="D17" i="8"/>
  <c r="F11" i="8"/>
  <c r="F14" i="8"/>
  <c r="F16" i="8"/>
  <c r="E11" i="8"/>
  <c r="D24" i="8" s="1" a="1"/>
  <c r="F13" i="8"/>
  <c r="E17" i="8"/>
  <c r="D12" i="8"/>
  <c r="D14" i="8"/>
  <c r="F15" i="8"/>
  <c r="F18" i="8"/>
  <c r="E13" i="8"/>
  <c r="E15" i="8"/>
  <c r="F17" i="8"/>
  <c r="E12" i="8"/>
  <c r="E14" i="8"/>
  <c r="E16" i="8"/>
  <c r="D40" i="8"/>
  <c r="D38" i="8"/>
  <c r="D36" i="8"/>
  <c r="E35" i="8"/>
  <c r="D39" i="8"/>
  <c r="D37" i="8"/>
  <c r="F24" i="8" l="1"/>
  <c r="F28" i="8"/>
  <c r="E25" i="8"/>
  <c r="F27" i="8"/>
  <c r="D27" i="8"/>
  <c r="E29" i="8"/>
  <c r="D25" i="8"/>
  <c r="D29" i="8"/>
  <c r="D26" i="8"/>
  <c r="E28" i="8"/>
  <c r="F25" i="8"/>
  <c r="F29" i="8"/>
  <c r="D28" i="8"/>
  <c r="D24" i="8"/>
  <c r="F26" i="8"/>
  <c r="E24" i="8"/>
  <c r="E27" i="8"/>
  <c r="E26" i="8"/>
  <c r="F19" i="8"/>
  <c r="E19" i="8"/>
  <c r="D19" i="8"/>
  <c r="F30" i="8" l="1"/>
  <c r="K25" i="7"/>
  <c r="I25" i="7"/>
  <c r="H25" i="7"/>
  <c r="G25" i="7"/>
  <c r="F25" i="7"/>
  <c r="E25" i="7"/>
  <c r="D25" i="7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43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J54" i="5" l="1"/>
  <c r="H54" i="5"/>
  <c r="I54" i="5"/>
  <c r="E55" i="5"/>
  <c r="G55" i="5"/>
  <c r="F55" i="5"/>
  <c r="J53" i="5"/>
  <c r="H53" i="5"/>
  <c r="I53" i="5"/>
  <c r="D17" i="6"/>
  <c r="J49" i="5"/>
  <c r="H49" i="5"/>
  <c r="I49" i="5"/>
  <c r="D13" i="6"/>
  <c r="J45" i="5"/>
  <c r="H45" i="5"/>
  <c r="I45" i="5"/>
  <c r="E58" i="5"/>
  <c r="F58" i="5"/>
  <c r="G58" i="5"/>
  <c r="E54" i="5"/>
  <c r="F54" i="5"/>
  <c r="G54" i="5"/>
  <c r="F50" i="5"/>
  <c r="G50" i="5"/>
  <c r="F46" i="5"/>
  <c r="G46" i="5"/>
  <c r="D18" i="6"/>
  <c r="J50" i="5"/>
  <c r="H50" i="5"/>
  <c r="I50" i="5"/>
  <c r="E43" i="5"/>
  <c r="F43" i="5"/>
  <c r="G43" i="5"/>
  <c r="G47" i="5"/>
  <c r="F47" i="5"/>
  <c r="J57" i="5"/>
  <c r="H57" i="5"/>
  <c r="I57" i="5"/>
  <c r="I56" i="5"/>
  <c r="J56" i="5"/>
  <c r="H56" i="5"/>
  <c r="I52" i="5"/>
  <c r="J52" i="5"/>
  <c r="H52" i="5"/>
  <c r="I48" i="5"/>
  <c r="J48" i="5"/>
  <c r="H48" i="5"/>
  <c r="I44" i="5"/>
  <c r="J44" i="5"/>
  <c r="H44" i="5"/>
  <c r="E57" i="5"/>
  <c r="F57" i="5"/>
  <c r="G57" i="5"/>
  <c r="E53" i="5"/>
  <c r="F53" i="5"/>
  <c r="G53" i="5"/>
  <c r="F49" i="5"/>
  <c r="G49" i="5"/>
  <c r="F45" i="5"/>
  <c r="G45" i="5"/>
  <c r="J58" i="5"/>
  <c r="H58" i="5"/>
  <c r="I58" i="5"/>
  <c r="D14" i="6"/>
  <c r="J46" i="5"/>
  <c r="H46" i="5"/>
  <c r="I46" i="5"/>
  <c r="E51" i="5"/>
  <c r="G51" i="5"/>
  <c r="F51" i="5"/>
  <c r="I55" i="5"/>
  <c r="J55" i="5"/>
  <c r="H55" i="5"/>
  <c r="I51" i="5"/>
  <c r="J51" i="5"/>
  <c r="H51" i="5"/>
  <c r="I47" i="5"/>
  <c r="J47" i="5"/>
  <c r="H47" i="5"/>
  <c r="D11" i="6"/>
  <c r="J43" i="5"/>
  <c r="H43" i="5"/>
  <c r="I43" i="5"/>
  <c r="E56" i="5"/>
  <c r="G56" i="5"/>
  <c r="F56" i="5"/>
  <c r="E52" i="5"/>
  <c r="F52" i="5"/>
  <c r="G52" i="5"/>
  <c r="G48" i="5"/>
  <c r="F48" i="5"/>
  <c r="F44" i="5"/>
  <c r="G44" i="5"/>
  <c r="E30" i="8"/>
  <c r="D30" i="8"/>
  <c r="D26" i="6"/>
  <c r="D25" i="6"/>
  <c r="D24" i="6"/>
  <c r="D23" i="6"/>
  <c r="D22" i="6"/>
  <c r="D21" i="6"/>
  <c r="D20" i="6"/>
  <c r="D19" i="6"/>
  <c r="C24" i="6"/>
  <c r="F24" i="6" s="1"/>
  <c r="C23" i="6"/>
  <c r="C20" i="6"/>
  <c r="C19" i="6"/>
  <c r="F19" i="6" s="1"/>
  <c r="C18" i="6"/>
  <c r="E50" i="5"/>
  <c r="C14" i="6"/>
  <c r="E46" i="5"/>
  <c r="C17" i="6"/>
  <c r="E49" i="5"/>
  <c r="C13" i="6"/>
  <c r="E45" i="5"/>
  <c r="E48" i="5"/>
  <c r="C22" i="6"/>
  <c r="C15" i="6"/>
  <c r="E47" i="5"/>
  <c r="C25" i="6"/>
  <c r="C21" i="6"/>
  <c r="E44" i="5"/>
  <c r="C26" i="6"/>
  <c r="C16" i="6"/>
  <c r="C12" i="6"/>
  <c r="D16" i="6"/>
  <c r="D12" i="6"/>
  <c r="C11" i="6"/>
  <c r="D15" i="6"/>
  <c r="F20" i="6" l="1"/>
  <c r="E19" i="6"/>
  <c r="F23" i="6"/>
  <c r="F15" i="6"/>
  <c r="E14" i="6"/>
  <c r="E13" i="6"/>
  <c r="E23" i="6"/>
  <c r="E24" i="6"/>
  <c r="E20" i="6"/>
  <c r="F14" i="6"/>
  <c r="E22" i="6"/>
  <c r="F22" i="6"/>
  <c r="E15" i="6"/>
  <c r="E25" i="6"/>
  <c r="F25" i="6"/>
  <c r="E17" i="6"/>
  <c r="F17" i="6"/>
  <c r="E21" i="6"/>
  <c r="F21" i="6"/>
  <c r="F13" i="6"/>
  <c r="F16" i="6"/>
  <c r="E16" i="6"/>
  <c r="E18" i="6"/>
  <c r="F18" i="6"/>
  <c r="E26" i="6"/>
  <c r="F26" i="6"/>
  <c r="F12" i="6"/>
  <c r="E12" i="6"/>
  <c r="E11" i="6"/>
  <c r="F11" i="6"/>
  <c r="P18" i="3"/>
  <c r="Q18" i="3"/>
  <c r="R18" i="3"/>
  <c r="S18" i="3"/>
  <c r="T18" i="3"/>
  <c r="U18" i="3"/>
  <c r="V18" i="3"/>
  <c r="W18" i="3"/>
  <c r="P19" i="3"/>
  <c r="Q19" i="3"/>
  <c r="R19" i="3"/>
  <c r="S19" i="3"/>
  <c r="T19" i="3"/>
  <c r="U19" i="3"/>
  <c r="V19" i="3"/>
  <c r="W19" i="3"/>
  <c r="P20" i="3"/>
  <c r="Q20" i="3"/>
  <c r="R20" i="3"/>
  <c r="S20" i="3"/>
  <c r="T20" i="3"/>
  <c r="U20" i="3"/>
  <c r="V20" i="3"/>
  <c r="W20" i="3"/>
  <c r="P21" i="3"/>
  <c r="Q21" i="3"/>
  <c r="R21" i="3"/>
  <c r="S21" i="3"/>
  <c r="T21" i="3"/>
  <c r="U21" i="3"/>
  <c r="V21" i="3"/>
  <c r="W21" i="3"/>
  <c r="P22" i="3"/>
  <c r="Q22" i="3"/>
  <c r="R22" i="3"/>
  <c r="S22" i="3"/>
  <c r="T22" i="3"/>
  <c r="U22" i="3"/>
  <c r="V22" i="3"/>
  <c r="W22" i="3"/>
  <c r="Q17" i="3"/>
  <c r="R17" i="3"/>
  <c r="S17" i="3"/>
  <c r="T17" i="3"/>
  <c r="U17" i="3"/>
  <c r="V17" i="3"/>
  <c r="W17" i="3"/>
  <c r="P17" i="3"/>
  <c r="D33" i="1"/>
  <c r="D32" i="1"/>
  <c r="D31" i="1"/>
  <c r="P6" i="3" l="1"/>
  <c r="Q6" i="3"/>
  <c r="R6" i="3"/>
  <c r="S6" i="3"/>
  <c r="T6" i="3"/>
  <c r="U6" i="3"/>
  <c r="V6" i="3"/>
  <c r="W6" i="3"/>
  <c r="P7" i="3"/>
  <c r="Q7" i="3"/>
  <c r="R7" i="3"/>
  <c r="S7" i="3"/>
  <c r="T7" i="3"/>
  <c r="U7" i="3"/>
  <c r="V7" i="3"/>
  <c r="W7" i="3"/>
  <c r="P8" i="3"/>
  <c r="Q8" i="3"/>
  <c r="R8" i="3"/>
  <c r="S8" i="3"/>
  <c r="T8" i="3"/>
  <c r="U8" i="3"/>
  <c r="V8" i="3"/>
  <c r="W8" i="3"/>
  <c r="P9" i="3"/>
  <c r="Q9" i="3"/>
  <c r="R9" i="3"/>
  <c r="S9" i="3"/>
  <c r="T9" i="3"/>
  <c r="U9" i="3"/>
  <c r="V9" i="3"/>
  <c r="W9" i="3"/>
  <c r="P10" i="3"/>
  <c r="Q10" i="3"/>
  <c r="R10" i="3"/>
  <c r="S10" i="3"/>
  <c r="T10" i="3"/>
  <c r="U10" i="3"/>
  <c r="V10" i="3"/>
  <c r="W10" i="3"/>
  <c r="P11" i="3"/>
  <c r="Q11" i="3"/>
  <c r="R11" i="3"/>
  <c r="S11" i="3"/>
  <c r="T11" i="3"/>
  <c r="U11" i="3"/>
  <c r="V11" i="3"/>
  <c r="W11" i="3"/>
  <c r="P12" i="3"/>
  <c r="Q12" i="3"/>
  <c r="R12" i="3"/>
  <c r="S12" i="3"/>
  <c r="T12" i="3"/>
  <c r="U12" i="3"/>
  <c r="V12" i="3"/>
  <c r="W12" i="3"/>
  <c r="Q5" i="3"/>
  <c r="R5" i="3"/>
  <c r="S5" i="3"/>
  <c r="T5" i="3"/>
  <c r="U5" i="3"/>
  <c r="V5" i="3"/>
  <c r="W5" i="3"/>
  <c r="P5" i="3"/>
  <c r="C39" i="3"/>
  <c r="D12" i="3" l="1" a="1"/>
  <c r="P28" i="3" a="1"/>
  <c r="P28" i="3" l="1"/>
  <c r="P30" i="3"/>
  <c r="Q29" i="3"/>
  <c r="S31" i="3"/>
  <c r="R33" i="3"/>
  <c r="S30" i="3"/>
  <c r="T28" i="3"/>
  <c r="U30" i="3"/>
  <c r="W32" i="3"/>
  <c r="T29" i="3"/>
  <c r="U31" i="3"/>
  <c r="Q28" i="3"/>
  <c r="P29" i="3"/>
  <c r="Q31" i="3"/>
  <c r="S33" i="3"/>
  <c r="P32" i="3"/>
  <c r="S32" i="3"/>
  <c r="T30" i="3"/>
  <c r="U32" i="3"/>
  <c r="V28" i="3"/>
  <c r="T31" i="3"/>
  <c r="U33" i="3"/>
  <c r="V29" i="3"/>
  <c r="R28" i="3"/>
  <c r="S29" i="3"/>
  <c r="Q32" i="3"/>
  <c r="U28" i="3"/>
  <c r="V32" i="3"/>
  <c r="W31" i="3"/>
  <c r="S28" i="3"/>
  <c r="P31" i="3"/>
  <c r="Q33" i="3"/>
  <c r="R29" i="3"/>
  <c r="Q30" i="3"/>
  <c r="R30" i="3"/>
  <c r="T32" i="3"/>
  <c r="W28" i="3"/>
  <c r="V30" i="3"/>
  <c r="T33" i="3"/>
  <c r="W29" i="3"/>
  <c r="V31" i="3"/>
  <c r="P33" i="3"/>
  <c r="R31" i="3"/>
  <c r="R32" i="3"/>
  <c r="W30" i="3"/>
  <c r="U29" i="3"/>
  <c r="V33" i="3"/>
  <c r="W33" i="3"/>
  <c r="D12" i="3"/>
  <c r="E17" i="3"/>
  <c r="D17" i="3"/>
  <c r="E16" i="3"/>
  <c r="D16" i="3"/>
  <c r="E15" i="3"/>
  <c r="D15" i="3"/>
  <c r="E14" i="3"/>
  <c r="D14" i="3"/>
  <c r="E13" i="3"/>
  <c r="D13" i="3"/>
  <c r="E12" i="3"/>
  <c r="E19" i="3"/>
  <c r="D19" i="3"/>
  <c r="E18" i="3"/>
  <c r="D18" i="3"/>
  <c r="E20" i="3" l="1"/>
  <c r="D28" i="3" a="1"/>
  <c r="D20" i="3"/>
  <c r="D28" i="3" l="1"/>
  <c r="D33" i="3"/>
  <c r="E31" i="3"/>
  <c r="E28" i="3"/>
  <c r="D31" i="3"/>
  <c r="E29" i="3"/>
  <c r="D32" i="3"/>
  <c r="D29" i="3"/>
  <c r="E32" i="3"/>
  <c r="D30" i="3"/>
  <c r="E33" i="3"/>
  <c r="E30" i="3"/>
  <c r="E34" i="3" l="1"/>
  <c r="D3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kijung park 1</author>
  </authors>
  <commentList>
    <comment ref="F27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These modules should be replaced to new modules 
</t>
        </r>
      </text>
    </comment>
  </commentList>
</comments>
</file>

<file path=xl/sharedStrings.xml><?xml version="1.0" encoding="utf-8"?>
<sst xmlns="http://schemas.openxmlformats.org/spreadsheetml/2006/main" count="472" uniqueCount="180">
  <si>
    <t xml:space="preserve">Sustainable Product Arhitecture &amp; Supplier Selection (S-PASS) Tool </t>
  </si>
  <si>
    <t>*Please fill out the white area of each matrix; Click an empty cell and select one of the listed values.</t>
  </si>
  <si>
    <t>Q1) Please estimate to what extent each product function contributes to achieve each environmental sustainability requirement.</t>
  </si>
  <si>
    <t>Function</t>
  </si>
  <si>
    <t>F1: Transform energy to torque</t>
  </si>
  <si>
    <t>F2: Accept recharge from external electric power</t>
  </si>
  <si>
    <t>F3: Provide propulsion</t>
  </si>
  <si>
    <t xml:space="preserve">F4: Protect motors and rotors from external impacts  </t>
  </si>
  <si>
    <t xml:space="preserve">F5: Allow for reuse or recycling </t>
  </si>
  <si>
    <t>Requirement</t>
  </si>
  <si>
    <t>R1: Energy efficiency</t>
  </si>
  <si>
    <t>R2: Durability</t>
  </si>
  <si>
    <t>R3: Low environmental impact</t>
  </si>
  <si>
    <t>* Each value indicates the contribution probability of the function to the requirement, a range from 0% to 100%.</t>
  </si>
  <si>
    <t xml:space="preserve">Q2) Please estimate to what extent each product module satisfies each product function. </t>
  </si>
  <si>
    <t>Module</t>
  </si>
  <si>
    <t>M1: Lower Shell 1 (for Hexa-copter)</t>
  </si>
  <si>
    <t>M2: Lower Shell 2 (for Quad-copter)</t>
  </si>
  <si>
    <r>
      <rPr>
        <sz val="7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M3: Knob</t>
    </r>
  </si>
  <si>
    <t>M4: Upper Shell 1 (for Hexa-copter)</t>
  </si>
  <si>
    <t>M5: Upper Shell 2 (for Quad-copter)</t>
  </si>
  <si>
    <t xml:space="preserve">M6: Battery Cover </t>
  </si>
  <si>
    <r>
      <rPr>
        <sz val="7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M7: Propeller </t>
    </r>
  </si>
  <si>
    <t xml:space="preserve">M8: Propeller Shield </t>
  </si>
  <si>
    <t xml:space="preserve">*Each satisfaction level is a range from 1 (poor) to 5 (very good) and has 0 if the module does not provide the function.  </t>
  </si>
  <si>
    <t>Q3) Please identify the module composition of current products</t>
  </si>
  <si>
    <t>P1: Hexa-copter</t>
  </si>
  <si>
    <t>P2: Quad-copter</t>
  </si>
  <si>
    <t xml:space="preserve"> *1 (used), 0 (not used)</t>
  </si>
  <si>
    <t>M5</t>
  </si>
  <si>
    <t>M4</t>
  </si>
  <si>
    <t>M2</t>
  </si>
  <si>
    <t>M1</t>
  </si>
  <si>
    <t>3) Modules required to be replaced</t>
  </si>
  <si>
    <t>:Very Good</t>
  </si>
  <si>
    <t>:Good</t>
  </si>
  <si>
    <t>:Fair</t>
  </si>
  <si>
    <t>Average Satisfaction</t>
  </si>
  <si>
    <t>Requirement 3</t>
  </si>
  <si>
    <t>:Poor</t>
  </si>
  <si>
    <t>R3</t>
  </si>
  <si>
    <t>Requirement 2</t>
  </si>
  <si>
    <t>:Very Poor</t>
  </si>
  <si>
    <t>R2</t>
  </si>
  <si>
    <t>Requirement 1</t>
  </si>
  <si>
    <t>:No Relation</t>
  </si>
  <si>
    <t>R1</t>
  </si>
  <si>
    <t>M8</t>
  </si>
  <si>
    <t>M7</t>
  </si>
  <si>
    <t>M6</t>
  </si>
  <si>
    <t>M3</t>
  </si>
  <si>
    <t>Interpretation</t>
  </si>
  <si>
    <t>Level</t>
  </si>
  <si>
    <t>Related Modules</t>
  </si>
  <si>
    <t>P2</t>
  </si>
  <si>
    <t>P1</t>
  </si>
  <si>
    <t>3) Relationship between Sustainability Requirements and Modules</t>
  </si>
  <si>
    <t>F5</t>
  </si>
  <si>
    <t>F4</t>
  </si>
  <si>
    <t>F3</t>
  </si>
  <si>
    <t>F2</t>
  </si>
  <si>
    <t>F1</t>
  </si>
  <si>
    <t>2) Relationship between Sustainability Requirements and Functions</t>
  </si>
  <si>
    <t>Product 2</t>
  </si>
  <si>
    <t>Product 1</t>
  </si>
  <si>
    <t xml:space="preserve">*Functions in red indicate that these functions are not sufficiently satisfied (&lt; 3) in at least one of the current products.  </t>
  </si>
  <si>
    <t>Phase 1 - Requirement Satisfaction by Existing Products (Results)</t>
  </si>
  <si>
    <t>1) Relationship between Current Product Functions and Modules</t>
  </si>
  <si>
    <t>F6</t>
  </si>
  <si>
    <t>F7</t>
  </si>
  <si>
    <t>F8</t>
  </si>
  <si>
    <t>R4</t>
  </si>
  <si>
    <t>R5</t>
  </si>
  <si>
    <t>R6</t>
  </si>
  <si>
    <t>Requirement 4</t>
  </si>
  <si>
    <t>Requirement 5</t>
  </si>
  <si>
    <t>Requirement 6</t>
  </si>
  <si>
    <t>*Please fill out the white area of each matrix</t>
  </si>
  <si>
    <t>Supplier</t>
  </si>
  <si>
    <t>A1</t>
  </si>
  <si>
    <t>S1</t>
  </si>
  <si>
    <t>A2</t>
  </si>
  <si>
    <t>S2</t>
  </si>
  <si>
    <t>A3</t>
  </si>
  <si>
    <t>A4</t>
  </si>
  <si>
    <t>A5</t>
  </si>
  <si>
    <t>A6</t>
  </si>
  <si>
    <t>S3</t>
  </si>
  <si>
    <t>A7</t>
  </si>
  <si>
    <t>A8</t>
  </si>
  <si>
    <t>Evaluation of environmental sustainability for new modules and suppliers.</t>
  </si>
  <si>
    <t>Environmental Sustainability Evaluation</t>
  </si>
  <si>
    <t>Module Related Environmental Indicators</t>
  </si>
  <si>
    <t>Supplier Related Environmental Indicators</t>
  </si>
  <si>
    <t>Hazardous Material Use:</t>
  </si>
  <si>
    <t>Recyclability:</t>
  </si>
  <si>
    <t>Renewable Material Use:</t>
  </si>
  <si>
    <t>ISO 14001:</t>
  </si>
  <si>
    <t>Environmentally Friendly Packaging:</t>
  </si>
  <si>
    <t>Possibility to satisfy RoHS</t>
  </si>
  <si>
    <t>Recycling rate</t>
  </si>
  <si>
    <t>Satisfaction level of using renewable materials</t>
  </si>
  <si>
    <t xml:space="preserve">Possesion of ISO 14001 certification </t>
  </si>
  <si>
    <t xml:space="preserve">Module </t>
  </si>
  <si>
    <t xml:space="preserve">Qualitative Measure           (Level: 1 = poor - 5 = very good) </t>
  </si>
  <si>
    <t>Quantitative Measure (Rate: 0%-100%)</t>
  </si>
  <si>
    <t>Qualitative Measure    (Yes:1, No:0)</t>
  </si>
  <si>
    <t>Quantitative Measure (rate: 0%-100%)</t>
  </si>
  <si>
    <t>Qualitative Measure    (Level)</t>
  </si>
  <si>
    <t>Quantitative Measure (Percentage: 0-1)</t>
  </si>
  <si>
    <t>Qualitative Measure (Level)</t>
  </si>
  <si>
    <t xml:space="preserve"> Threshold Determination </t>
  </si>
  <si>
    <t>Hazardous Material Use</t>
  </si>
  <si>
    <t>Recyclability</t>
  </si>
  <si>
    <t>ISO 14001</t>
  </si>
  <si>
    <t>Environmentally Friendly Packaging</t>
  </si>
  <si>
    <t>Value</t>
  </si>
  <si>
    <t>Related Supplier</t>
  </si>
  <si>
    <t>A9</t>
  </si>
  <si>
    <t>A10</t>
  </si>
  <si>
    <t>A11</t>
  </si>
  <si>
    <t>A12</t>
  </si>
  <si>
    <t>A13</t>
  </si>
  <si>
    <t>A14</t>
  </si>
  <si>
    <t>A15</t>
  </si>
  <si>
    <t>A16</t>
  </si>
  <si>
    <t>`</t>
  </si>
  <si>
    <t xml:space="preserve">Alternative Module </t>
  </si>
  <si>
    <t xml:space="preserve">Phase 2 - Mudule &amp; Supplier Filtering (Result) </t>
  </si>
  <si>
    <t>1) Filtering result</t>
  </si>
  <si>
    <t>Module Filtering Result</t>
  </si>
  <si>
    <t>Supplier Filtering Result</t>
  </si>
  <si>
    <t>2) Final new module and supplier list</t>
  </si>
  <si>
    <t xml:space="preserve">Alterantive Module </t>
  </si>
  <si>
    <t>Q2) Please determine thresholds for module and supplier related sustainability indicators.</t>
  </si>
  <si>
    <t>Renewable Material Use</t>
  </si>
  <si>
    <t>Use of Recycled Materials</t>
  </si>
  <si>
    <t>Capability of using recycled materials</t>
  </si>
  <si>
    <t>Use of Recycled Materials:</t>
  </si>
  <si>
    <t xml:space="preserve"> Packaging recycling rate</t>
  </si>
  <si>
    <t>Alternative Module</t>
  </si>
  <si>
    <t>Phase 3 - Product Architecture and Supplier Selection</t>
  </si>
  <si>
    <t xml:space="preserve">Q1) Please estimate how well each product module satisfies each product function. </t>
  </si>
  <si>
    <t xml:space="preserve"> *Use satisfaction level 1 (poor) -5 (excellent) </t>
  </si>
  <si>
    <t>*1 (related), 0 (not related)</t>
  </si>
  <si>
    <t>Q3) Please define each architecture with modules.</t>
  </si>
  <si>
    <t>E1</t>
  </si>
  <si>
    <t>E2</t>
  </si>
  <si>
    <t>E3</t>
  </si>
  <si>
    <t xml:space="preserve">Q2) Please identify each module's supplier. </t>
  </si>
  <si>
    <t>Phase 3 - Product Architecture and Supplier Selection (Results)</t>
  </si>
  <si>
    <t>1) Average functional satisfaction levels for new produt architectures</t>
  </si>
  <si>
    <t>Average Satisfacation</t>
  </si>
  <si>
    <t>2) Average requirement satisfaction levels for new product architectures</t>
  </si>
  <si>
    <t>3) Suppliers selected for new product architectures</t>
  </si>
  <si>
    <t>2) Satisfaction level of each environmental sustainability requirement for current products</t>
  </si>
  <si>
    <t>Product Architecture</t>
  </si>
  <si>
    <t>M1, M5, M7</t>
  </si>
  <si>
    <t>M1, M2, M3, M4, M5, M6, M8</t>
  </si>
  <si>
    <t>F6: Recharging Battery</t>
  </si>
  <si>
    <t>F7:Picking-up and releasing objects handled</t>
  </si>
  <si>
    <t>F8:Partly transforming solar energy to electric energy</t>
  </si>
  <si>
    <t>R4: Use of renewable energy</t>
  </si>
  <si>
    <t>R5: Delivery of a small amount of waste</t>
  </si>
  <si>
    <t>R6: Easy control</t>
  </si>
  <si>
    <t>-</t>
  </si>
  <si>
    <t>M1, M2, M4, M5</t>
  </si>
  <si>
    <t>M1, M5, M7,M1, M2, M3, M4, M5, M6, M8,M1, M2, M4, M5,M1, M2, M4, M5,M1, M5, M7</t>
  </si>
  <si>
    <t>A17</t>
  </si>
  <si>
    <t>A18</t>
  </si>
  <si>
    <t xml:space="preserve">Architecture 1 </t>
  </si>
  <si>
    <t xml:space="preserve">Architecture 2 </t>
  </si>
  <si>
    <t>Architecture 3</t>
  </si>
  <si>
    <t>Architecture 2</t>
  </si>
  <si>
    <t xml:space="preserve"> *Requirements in red indicate that these requirements are not sufficiently satisfied (&lt;3) in at least one of the current products.  </t>
  </si>
  <si>
    <t xml:space="preserve">Phase 2 - New Module and Supplier Filtering </t>
  </si>
  <si>
    <t>Phase 1 - Sustainability Requirement Satisfaction of Existing Products</t>
  </si>
  <si>
    <r>
      <t>*Do not modify any</t>
    </r>
    <r>
      <rPr>
        <b/>
        <sz val="11"/>
        <color rgb="FFFF0000"/>
        <rFont val="Calibri"/>
        <family val="2"/>
        <scheme val="minor"/>
      </rPr>
      <t xml:space="preserve"> format or formula</t>
    </r>
    <r>
      <rPr>
        <sz val="11"/>
        <color rgb="FFFF0000"/>
        <rFont val="Calibri"/>
        <family val="2"/>
        <scheme val="minor"/>
      </rPr>
      <t xml:space="preserve">  in the worksheet.</t>
    </r>
  </si>
  <si>
    <r>
      <t>*Do not modify any</t>
    </r>
    <r>
      <rPr>
        <b/>
        <sz val="11"/>
        <color rgb="FFFF0000"/>
        <rFont val="Calibri"/>
        <family val="2"/>
        <scheme val="minor"/>
      </rPr>
      <t xml:space="preserve"> format or forumlar</t>
    </r>
    <r>
      <rPr>
        <sz val="11"/>
        <color rgb="FFFF0000"/>
        <rFont val="Calibri"/>
        <family val="2"/>
        <scheme val="minor"/>
      </rPr>
      <t xml:space="preserve"> in the worksheet.</t>
    </r>
  </si>
  <si>
    <t xml:space="preserve">Q1) Please identify alternative modules and their suppliers that can replace the inadequate modules identified in Phase 1.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</si>
</sst>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4" fillId="0" borderId="0" xfId="0" applyFont="1" applyBorder="1"/>
    <xf numFmtId="0" fontId="0" fillId="0" borderId="5" xfId="0" applyBorder="1"/>
    <xf numFmtId="0" fontId="5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0" fillId="0" borderId="7" xfId="0" applyBorder="1"/>
    <xf numFmtId="0" fontId="0" fillId="2" borderId="8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10" xfId="1" applyFont="1" applyFill="1" applyBorder="1" applyAlignment="1">
      <alignment horizontal="center" vertical="center"/>
    </xf>
    <xf numFmtId="9" fontId="0" fillId="0" borderId="0" xfId="0" applyNumberFormat="1" applyBorder="1"/>
    <xf numFmtId="0" fontId="0" fillId="0" borderId="7" xfId="0" applyBorder="1" applyAlignment="1">
      <alignment horizontal="left"/>
    </xf>
    <xf numFmtId="0" fontId="0" fillId="2" borderId="8" xfId="0" applyFont="1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left" vertical="top" wrapText="1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2" borderId="11" xfId="0" applyFont="1" applyFill="1" applyBorder="1" applyAlignment="1">
      <alignment horizontal="left" vertical="top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textRotation="90"/>
    </xf>
    <xf numFmtId="0" fontId="0" fillId="3" borderId="0" xfId="0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2" borderId="27" xfId="0" applyFill="1" applyBorder="1" applyAlignment="1">
      <alignment horizontal="left" vertical="center"/>
    </xf>
    <xf numFmtId="9" fontId="0" fillId="0" borderId="8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left" vertical="center"/>
    </xf>
    <xf numFmtId="9" fontId="0" fillId="0" borderId="19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9" fontId="0" fillId="0" borderId="28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0" fontId="0" fillId="0" borderId="26" xfId="0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9" fontId="0" fillId="0" borderId="16" xfId="0" applyNumberFormat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7" fillId="0" borderId="0" xfId="2"/>
    <xf numFmtId="0" fontId="0" fillId="2" borderId="16" xfId="0" applyFill="1" applyBorder="1" applyAlignment="1"/>
    <xf numFmtId="0" fontId="0" fillId="2" borderId="15" xfId="0" applyFill="1" applyBorder="1" applyAlignment="1"/>
    <xf numFmtId="0" fontId="0" fillId="2" borderId="11" xfId="0" applyFill="1" applyBorder="1" applyAlignment="1"/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 vertical="top" wrapText="1"/>
    </xf>
    <xf numFmtId="0" fontId="8" fillId="2" borderId="8" xfId="0" applyFont="1" applyFill="1" applyBorder="1"/>
    <xf numFmtId="0" fontId="8" fillId="2" borderId="8" xfId="0" applyFont="1" applyFill="1" applyBorder="1" applyAlignment="1">
      <alignment horizontal="center"/>
    </xf>
    <xf numFmtId="0" fontId="0" fillId="2" borderId="8" xfId="0" applyFill="1" applyBorder="1" applyAlignment="1">
      <alignment horizont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20" xfId="0" applyFill="1" applyBorder="1" applyAlignment="1">
      <alignment horizontal="left" vertical="center"/>
    </xf>
    <xf numFmtId="9" fontId="0" fillId="0" borderId="17" xfId="0" applyNumberFormat="1" applyBorder="1" applyAlignment="1">
      <alignment horizontal="center" vertical="center"/>
    </xf>
    <xf numFmtId="9" fontId="0" fillId="0" borderId="29" xfId="0" applyNumberFormat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quotePrefix="1" applyFont="1"/>
    <xf numFmtId="0" fontId="0" fillId="2" borderId="8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9" fontId="0" fillId="0" borderId="13" xfId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9" fontId="0" fillId="0" borderId="14" xfId="0" applyNumberFormat="1" applyBorder="1" applyAlignment="1">
      <alignment horizontal="center" vertical="center" wrapText="1"/>
    </xf>
    <xf numFmtId="0" fontId="0" fillId="0" borderId="8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2" borderId="8" xfId="0" applyFill="1" applyBorder="1" applyAlignment="1">
      <alignment horizontal="lef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4" xfId="0" applyFill="1" applyBorder="1"/>
    <xf numFmtId="9" fontId="0" fillId="4" borderId="8" xfId="0" applyNumberFormat="1" applyFill="1" applyBorder="1" applyAlignment="1">
      <alignment horizontal="center"/>
    </xf>
    <xf numFmtId="0" fontId="0" fillId="0" borderId="0" xfId="0" quotePrefix="1" applyFont="1" applyBorder="1"/>
    <xf numFmtId="9" fontId="0" fillId="2" borderId="8" xfId="1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2" borderId="10" xfId="0" applyFill="1" applyBorder="1" applyAlignment="1">
      <alignment horizontal="center" wrapText="1"/>
    </xf>
    <xf numFmtId="0" fontId="0" fillId="2" borderId="11" xfId="0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17" xfId="0" applyBorder="1" applyAlignment="1">
      <alignment vertical="top" wrapText="1"/>
    </xf>
    <xf numFmtId="0" fontId="0" fillId="0" borderId="29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8" xfId="0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10" fillId="0" borderId="0" xfId="0" applyFont="1" applyAlignment="1"/>
    <xf numFmtId="0" fontId="3" fillId="0" borderId="0" xfId="0" applyFont="1" applyBorder="1" applyAlignment="1">
      <alignment vertical="top"/>
    </xf>
    <xf numFmtId="0" fontId="0" fillId="2" borderId="8" xfId="0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3" borderId="2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 vertical="center" textRotation="90"/>
    </xf>
    <xf numFmtId="0" fontId="0" fillId="0" borderId="0" xfId="0" applyBorder="1" applyAlignment="1">
      <alignment horizontal="left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textRotation="90"/>
    </xf>
    <xf numFmtId="0" fontId="0" fillId="0" borderId="24" xfId="0" applyBorder="1" applyAlignment="1">
      <alignment horizontal="center"/>
    </xf>
    <xf numFmtId="0" fontId="14" fillId="0" borderId="0" xfId="0" applyFont="1" applyBorder="1"/>
    <xf numFmtId="0" fontId="15" fillId="0" borderId="0" xfId="0" applyFont="1" applyBorder="1"/>
  </cellXfs>
  <cellStyles count="3">
    <cellStyle name="Hyperlink" xfId="2" builtinId="8"/>
    <cellStyle name="Normal" xfId="0" builtinId="0"/>
    <cellStyle name="Percent" xfId="1" builtinId="5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46</xdr:row>
          <xdr:rowOff>45720</xdr:rowOff>
        </xdr:from>
        <xdr:to>
          <xdr:col>8</xdr:col>
          <xdr:colOff>1127760</xdr:colOff>
          <xdr:row>48</xdr:row>
          <xdr:rowOff>121920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1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68580</xdr:rowOff>
        </xdr:from>
        <xdr:to>
          <xdr:col>11</xdr:col>
          <xdr:colOff>182880</xdr:colOff>
          <xdr:row>48</xdr:row>
          <xdr:rowOff>83820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Phase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693420</xdr:colOff>
          <xdr:row>61</xdr:row>
          <xdr:rowOff>22860</xdr:rowOff>
        </xdr:from>
        <xdr:to>
          <xdr:col>9</xdr:col>
          <xdr:colOff>1508760</xdr:colOff>
          <xdr:row>62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2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1432560</xdr:colOff>
          <xdr:row>46</xdr:row>
          <xdr:rowOff>0</xdr:rowOff>
        </xdr:from>
        <xdr:to>
          <xdr:col>7</xdr:col>
          <xdr:colOff>213360</xdr:colOff>
          <xdr:row>48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Phase 3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708660</xdr:colOff>
          <xdr:row>46</xdr:row>
          <xdr:rowOff>45720</xdr:rowOff>
        </xdr:from>
        <xdr:to>
          <xdr:col>10</xdr:col>
          <xdr:colOff>914400</xdr:colOff>
          <xdr:row>48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3 Results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jung/Desktop/Kijung/Cool_Slice/Coolslice_Sustainable%20Product%20Architecture%20&amp;%20Supplier%20Selection%20(S-PASS)_Drone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hase1_Input"/>
      <sheetName val="Phase1_Output"/>
      <sheetName val="Phase2_Input"/>
      <sheetName val="Phase2_Output"/>
      <sheetName val="Phase3_Input"/>
      <sheetName val="Phase3_Output"/>
      <sheetName val="Coolslice_Sustainable Product 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R56"/>
  <sheetViews>
    <sheetView showGridLines="0" showRowColHeaders="0" zoomScale="70" zoomScaleNormal="70" workbookViewId="0">
      <selection activeCell="D7" sqref="D7"/>
    </sheetView>
  </sheetViews>
  <sheetFormatPr defaultRowHeight="14.4" x14ac:dyDescent="0.3"/>
  <cols>
    <col min="2" max="3" width="4.88671875" customWidth="1"/>
    <col min="4" max="4" width="47.44140625" customWidth="1"/>
    <col min="5" max="9" width="17.5546875" customWidth="1"/>
    <col min="10" max="12" width="17.109375" customWidth="1"/>
    <col min="13" max="18" width="0.88671875" customWidth="1"/>
  </cols>
  <sheetData>
    <row r="1" spans="2:18" ht="15" thickBot="1" x14ac:dyDescent="0.35"/>
    <row r="2" spans="2:18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</row>
    <row r="3" spans="2:18" ht="21" x14ac:dyDescent="0.4">
      <c r="B3" s="5"/>
      <c r="C3" s="4"/>
      <c r="D3" s="6" t="s">
        <v>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7"/>
    </row>
    <row r="4" spans="2:18" x14ac:dyDescent="0.3">
      <c r="B4" s="5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7"/>
    </row>
    <row r="5" spans="2:18" ht="18" x14ac:dyDescent="0.35">
      <c r="B5" s="5"/>
      <c r="C5" s="4"/>
      <c r="D5" s="8" t="s">
        <v>176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7"/>
    </row>
    <row r="6" spans="2:18" ht="24.75" customHeight="1" x14ac:dyDescent="0.3">
      <c r="B6" s="5"/>
      <c r="C6" s="4"/>
      <c r="D6" s="4" t="s">
        <v>1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7"/>
    </row>
    <row r="7" spans="2:18" x14ac:dyDescent="0.3">
      <c r="B7" s="5"/>
      <c r="C7" s="4"/>
      <c r="D7" s="9" t="s">
        <v>177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7"/>
    </row>
    <row r="8" spans="2:18" ht="11.25" customHeight="1" x14ac:dyDescent="0.3">
      <c r="B8" s="5"/>
      <c r="C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7"/>
    </row>
    <row r="9" spans="2:18" x14ac:dyDescent="0.3">
      <c r="B9" s="5"/>
      <c r="C9" s="4"/>
      <c r="D9" s="10" t="s">
        <v>2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7"/>
    </row>
    <row r="10" spans="2:18" x14ac:dyDescent="0.3">
      <c r="B10" s="5"/>
      <c r="C10" s="4"/>
      <c r="D10" s="10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7"/>
    </row>
    <row r="11" spans="2:18" ht="15" thickBot="1" x14ac:dyDescent="0.35">
      <c r="B11" s="5"/>
      <c r="C11" s="4"/>
      <c r="D11" t="s">
        <v>126</v>
      </c>
      <c r="E11" s="148" t="s">
        <v>3</v>
      </c>
      <c r="F11" s="148"/>
      <c r="G11" s="148"/>
      <c r="H11" s="148"/>
      <c r="I11" s="148"/>
      <c r="J11" s="148"/>
      <c r="K11" s="148"/>
      <c r="L11" s="148"/>
      <c r="M11" s="4"/>
      <c r="N11" s="4"/>
      <c r="O11" s="4"/>
      <c r="P11" s="4"/>
      <c r="Q11" s="4"/>
      <c r="R11" s="7"/>
    </row>
    <row r="12" spans="2:18" ht="61.5" customHeight="1" x14ac:dyDescent="0.3">
      <c r="B12" s="5"/>
      <c r="C12" s="4"/>
      <c r="D12" s="11"/>
      <c r="E12" s="12" t="s">
        <v>4</v>
      </c>
      <c r="F12" s="12" t="s">
        <v>5</v>
      </c>
      <c r="G12" s="12" t="s">
        <v>6</v>
      </c>
      <c r="H12" s="12" t="s">
        <v>7</v>
      </c>
      <c r="I12" s="12" t="s">
        <v>8</v>
      </c>
      <c r="J12" s="128" t="s">
        <v>159</v>
      </c>
      <c r="K12" s="129" t="s">
        <v>160</v>
      </c>
      <c r="L12" s="130" t="s">
        <v>161</v>
      </c>
      <c r="R12" s="7"/>
    </row>
    <row r="13" spans="2:18" ht="24" customHeight="1" x14ac:dyDescent="0.3">
      <c r="B13" s="5"/>
      <c r="C13" s="150" t="s">
        <v>9</v>
      </c>
      <c r="D13" s="13" t="s">
        <v>10</v>
      </c>
      <c r="E13" s="14">
        <v>0.4</v>
      </c>
      <c r="F13" s="14">
        <v>0.2</v>
      </c>
      <c r="G13" s="14">
        <v>0.1</v>
      </c>
      <c r="H13" s="14">
        <v>0</v>
      </c>
      <c r="I13" s="14">
        <v>0</v>
      </c>
      <c r="J13" s="41">
        <v>0</v>
      </c>
      <c r="K13" s="39">
        <v>0</v>
      </c>
      <c r="L13" s="42">
        <v>0.3</v>
      </c>
      <c r="M13" s="126" t="str">
        <f>IF(SUM(E13:L13)=1,"","The sum of columns should be 100%")</f>
        <v/>
      </c>
      <c r="R13" s="7"/>
    </row>
    <row r="14" spans="2:18" ht="24" customHeight="1" x14ac:dyDescent="0.3">
      <c r="B14" s="5"/>
      <c r="C14" s="150"/>
      <c r="D14" s="13" t="s">
        <v>11</v>
      </c>
      <c r="E14" s="15">
        <v>0</v>
      </c>
      <c r="F14" s="15">
        <v>0</v>
      </c>
      <c r="G14" s="15">
        <v>0</v>
      </c>
      <c r="H14" s="15">
        <v>0.6</v>
      </c>
      <c r="I14" s="15">
        <v>0</v>
      </c>
      <c r="J14" s="41">
        <v>0</v>
      </c>
      <c r="K14" s="39">
        <v>0.4</v>
      </c>
      <c r="L14" s="42">
        <v>0</v>
      </c>
      <c r="M14" s="126" t="str">
        <f t="shared" ref="M14:M18" si="0">IF(SUM(E14:L14)=1,"","The sum of columns should be 100%")</f>
        <v/>
      </c>
      <c r="R14" s="7"/>
    </row>
    <row r="15" spans="2:18" ht="24" customHeight="1" thickBot="1" x14ac:dyDescent="0.35">
      <c r="B15" s="5"/>
      <c r="C15" s="150"/>
      <c r="D15" s="38" t="s">
        <v>12</v>
      </c>
      <c r="E15" s="15">
        <v>0</v>
      </c>
      <c r="F15" s="15">
        <v>0.1</v>
      </c>
      <c r="G15" s="15">
        <v>0</v>
      </c>
      <c r="H15" s="15">
        <v>0</v>
      </c>
      <c r="I15" s="78">
        <v>0.4</v>
      </c>
      <c r="J15" s="49">
        <v>0.1</v>
      </c>
      <c r="K15" s="39">
        <v>0</v>
      </c>
      <c r="L15" s="42">
        <v>0.4</v>
      </c>
      <c r="M15" s="126" t="str">
        <f t="shared" si="0"/>
        <v/>
      </c>
      <c r="R15" s="7"/>
    </row>
    <row r="16" spans="2:18" ht="24" customHeight="1" x14ac:dyDescent="0.3">
      <c r="B16" s="5"/>
      <c r="C16" s="150"/>
      <c r="D16" s="40" t="s">
        <v>162</v>
      </c>
      <c r="E16" s="76">
        <v>0</v>
      </c>
      <c r="F16" s="77">
        <v>0.1</v>
      </c>
      <c r="G16" s="77">
        <v>0</v>
      </c>
      <c r="H16" s="77">
        <v>0</v>
      </c>
      <c r="I16" s="77">
        <v>0.2</v>
      </c>
      <c r="J16" s="39">
        <v>0.2</v>
      </c>
      <c r="K16" s="39">
        <v>0</v>
      </c>
      <c r="L16" s="42">
        <v>0.5</v>
      </c>
      <c r="M16" s="126" t="str">
        <f t="shared" si="0"/>
        <v/>
      </c>
      <c r="R16" s="7"/>
    </row>
    <row r="17" spans="2:18" ht="24" customHeight="1" x14ac:dyDescent="0.3">
      <c r="B17" s="5"/>
      <c r="C17" s="150"/>
      <c r="D17" s="40" t="s">
        <v>163</v>
      </c>
      <c r="E17" s="41">
        <v>0.3</v>
      </c>
      <c r="F17" s="39">
        <v>0</v>
      </c>
      <c r="G17" s="39">
        <v>0.4</v>
      </c>
      <c r="H17" s="39">
        <v>0</v>
      </c>
      <c r="I17" s="39">
        <v>0</v>
      </c>
      <c r="J17" s="39">
        <v>0</v>
      </c>
      <c r="K17" s="39">
        <v>0.3</v>
      </c>
      <c r="L17" s="42">
        <v>0</v>
      </c>
      <c r="M17" s="126" t="str">
        <f t="shared" si="0"/>
        <v/>
      </c>
      <c r="R17" s="7"/>
    </row>
    <row r="18" spans="2:18" ht="24" customHeight="1" thickBot="1" x14ac:dyDescent="0.35">
      <c r="B18" s="5"/>
      <c r="C18" s="150"/>
      <c r="D18" s="75" t="s">
        <v>164</v>
      </c>
      <c r="E18" s="43">
        <v>0.2</v>
      </c>
      <c r="F18" s="44">
        <v>0</v>
      </c>
      <c r="G18" s="44">
        <v>0.4</v>
      </c>
      <c r="H18" s="44">
        <v>0</v>
      </c>
      <c r="I18" s="44">
        <v>0</v>
      </c>
      <c r="J18" s="44">
        <v>0</v>
      </c>
      <c r="K18" s="44">
        <v>0.4</v>
      </c>
      <c r="L18" s="45">
        <v>0</v>
      </c>
      <c r="M18" s="126" t="str">
        <f t="shared" si="0"/>
        <v/>
      </c>
      <c r="R18" s="7"/>
    </row>
    <row r="19" spans="2:18" ht="8.25" customHeight="1" x14ac:dyDescent="0.3">
      <c r="B19" s="5"/>
      <c r="R19" s="7"/>
    </row>
    <row r="20" spans="2:18" x14ac:dyDescent="0.3">
      <c r="B20" s="5"/>
      <c r="C20" s="4"/>
      <c r="D20" s="4" t="s">
        <v>13</v>
      </c>
      <c r="E20" s="4"/>
      <c r="F20" s="16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7"/>
    </row>
    <row r="21" spans="2:18" x14ac:dyDescent="0.3">
      <c r="B21" s="5"/>
      <c r="C21" s="4"/>
      <c r="D21" s="4"/>
      <c r="E21" s="4"/>
      <c r="F21" s="16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7"/>
    </row>
    <row r="22" spans="2:18" x14ac:dyDescent="0.3">
      <c r="B22" s="5"/>
      <c r="D22" s="10" t="s">
        <v>14</v>
      </c>
      <c r="R22" s="7"/>
    </row>
    <row r="23" spans="2:18" x14ac:dyDescent="0.3">
      <c r="B23" s="5"/>
      <c r="D23" s="10"/>
      <c r="R23" s="7"/>
    </row>
    <row r="24" spans="2:18" x14ac:dyDescent="0.3">
      <c r="B24" s="5"/>
      <c r="C24" s="4"/>
      <c r="E24" s="149" t="s">
        <v>15</v>
      </c>
      <c r="F24" s="149"/>
      <c r="G24" s="149"/>
      <c r="H24" s="149"/>
      <c r="I24" s="149"/>
      <c r="J24" s="149"/>
      <c r="K24" s="149"/>
      <c r="L24" s="149"/>
      <c r="M24" s="47"/>
      <c r="N24" s="47"/>
      <c r="O24" s="47"/>
      <c r="P24" s="47"/>
      <c r="Q24" s="47"/>
      <c r="R24" s="7"/>
    </row>
    <row r="25" spans="2:18" ht="45" customHeight="1" x14ac:dyDescent="0.3">
      <c r="B25" s="5"/>
      <c r="C25" s="4"/>
      <c r="D25" s="17"/>
      <c r="E25" s="12" t="s">
        <v>16</v>
      </c>
      <c r="F25" s="12" t="s">
        <v>17</v>
      </c>
      <c r="G25" s="18" t="s">
        <v>18</v>
      </c>
      <c r="H25" s="12" t="s">
        <v>19</v>
      </c>
      <c r="I25" s="12" t="s">
        <v>20</v>
      </c>
      <c r="J25" s="12" t="s">
        <v>21</v>
      </c>
      <c r="K25" s="12" t="s">
        <v>22</v>
      </c>
      <c r="L25" s="12" t="s">
        <v>23</v>
      </c>
      <c r="N25" s="4"/>
      <c r="O25" s="4"/>
      <c r="P25" s="4"/>
      <c r="Q25" s="4"/>
      <c r="R25" s="7"/>
    </row>
    <row r="26" spans="2:18" ht="29.25" customHeight="1" x14ac:dyDescent="0.3">
      <c r="B26" s="5"/>
      <c r="C26" s="150" t="s">
        <v>3</v>
      </c>
      <c r="D26" s="19" t="s">
        <v>4</v>
      </c>
      <c r="E26" s="20">
        <v>5</v>
      </c>
      <c r="F26" s="20">
        <v>0</v>
      </c>
      <c r="G26" s="20">
        <v>0</v>
      </c>
      <c r="H26" s="20">
        <v>0</v>
      </c>
      <c r="I26" s="20">
        <v>5</v>
      </c>
      <c r="J26" s="20">
        <v>0</v>
      </c>
      <c r="K26" s="20">
        <v>0</v>
      </c>
      <c r="L26" s="20">
        <v>0</v>
      </c>
      <c r="M26" s="46"/>
      <c r="N26" s="4"/>
      <c r="O26" s="4"/>
      <c r="P26" s="4"/>
      <c r="Q26" s="4"/>
      <c r="R26" s="7"/>
    </row>
    <row r="27" spans="2:18" ht="29.25" customHeight="1" x14ac:dyDescent="0.3">
      <c r="B27" s="5"/>
      <c r="C27" s="150"/>
      <c r="D27" s="19" t="s">
        <v>5</v>
      </c>
      <c r="E27" s="20">
        <v>0</v>
      </c>
      <c r="F27" s="20">
        <v>0</v>
      </c>
      <c r="G27" s="20">
        <v>0</v>
      </c>
      <c r="H27" s="20">
        <v>0</v>
      </c>
      <c r="I27" s="20">
        <v>3</v>
      </c>
      <c r="J27" s="20">
        <v>0</v>
      </c>
      <c r="K27" s="20">
        <v>0</v>
      </c>
      <c r="L27" s="20">
        <v>0</v>
      </c>
      <c r="M27" s="46"/>
      <c r="N27" s="4"/>
      <c r="O27" s="4"/>
      <c r="P27" s="4"/>
      <c r="Q27" s="4"/>
      <c r="R27" s="7"/>
    </row>
    <row r="28" spans="2:18" ht="29.25" customHeight="1" x14ac:dyDescent="0.3">
      <c r="B28" s="5"/>
      <c r="C28" s="150"/>
      <c r="D28" s="19" t="s">
        <v>6</v>
      </c>
      <c r="E28" s="20">
        <v>4</v>
      </c>
      <c r="F28" s="20">
        <v>0</v>
      </c>
      <c r="G28" s="20">
        <v>0</v>
      </c>
      <c r="H28" s="20">
        <v>0</v>
      </c>
      <c r="I28" s="20">
        <v>4</v>
      </c>
      <c r="J28" s="20">
        <v>0</v>
      </c>
      <c r="K28" s="20">
        <v>5</v>
      </c>
      <c r="L28" s="20">
        <v>0</v>
      </c>
      <c r="M28" s="46"/>
      <c r="N28" s="4"/>
      <c r="O28" s="4"/>
      <c r="P28" s="4"/>
      <c r="Q28" s="4"/>
      <c r="R28" s="7"/>
    </row>
    <row r="29" spans="2:18" ht="29.25" customHeight="1" thickBot="1" x14ac:dyDescent="0.35">
      <c r="B29" s="5"/>
      <c r="C29" s="150"/>
      <c r="D29" s="19" t="s">
        <v>7</v>
      </c>
      <c r="E29" s="21">
        <v>3</v>
      </c>
      <c r="F29" s="21">
        <v>4</v>
      </c>
      <c r="G29" s="21">
        <v>5</v>
      </c>
      <c r="H29" s="21">
        <v>2</v>
      </c>
      <c r="I29" s="21">
        <v>1</v>
      </c>
      <c r="J29" s="20">
        <v>4</v>
      </c>
      <c r="K29" s="20">
        <v>0</v>
      </c>
      <c r="L29" s="20">
        <v>4</v>
      </c>
      <c r="M29" s="46"/>
      <c r="N29" s="4"/>
      <c r="O29" s="4"/>
      <c r="P29" s="4"/>
      <c r="Q29" s="4"/>
      <c r="R29" s="7"/>
    </row>
    <row r="30" spans="2:18" ht="29.25" customHeight="1" thickBot="1" x14ac:dyDescent="0.35">
      <c r="B30" s="5"/>
      <c r="C30" s="150"/>
      <c r="D30" s="22" t="s">
        <v>8</v>
      </c>
      <c r="E30" s="26">
        <v>1</v>
      </c>
      <c r="F30" s="27">
        <v>1</v>
      </c>
      <c r="G30" s="50">
        <v>0</v>
      </c>
      <c r="H30" s="26">
        <v>1</v>
      </c>
      <c r="I30" s="27">
        <v>1</v>
      </c>
      <c r="J30" s="51">
        <v>0</v>
      </c>
      <c r="K30" s="21">
        <v>0</v>
      </c>
      <c r="L30" s="21">
        <v>0</v>
      </c>
      <c r="M30" s="46"/>
      <c r="N30" s="4"/>
      <c r="O30" s="4"/>
      <c r="P30" s="4"/>
      <c r="Q30" s="4"/>
      <c r="R30" s="7"/>
    </row>
    <row r="31" spans="2:18" ht="29.25" customHeight="1" x14ac:dyDescent="0.3">
      <c r="B31" s="5"/>
      <c r="C31" s="150"/>
      <c r="D31" s="22" t="str">
        <f>J12</f>
        <v>F6: Recharging Battery</v>
      </c>
      <c r="E31" s="54">
        <v>2</v>
      </c>
      <c r="F31" s="52">
        <v>0</v>
      </c>
      <c r="G31" s="55">
        <v>0</v>
      </c>
      <c r="H31" s="52">
        <v>0</v>
      </c>
      <c r="I31" s="52">
        <v>2</v>
      </c>
      <c r="J31" s="55">
        <v>0</v>
      </c>
      <c r="K31" s="55">
        <v>0</v>
      </c>
      <c r="L31" s="56">
        <v>0</v>
      </c>
      <c r="M31" s="4"/>
      <c r="N31" s="4"/>
      <c r="O31" s="4"/>
      <c r="P31" s="4"/>
      <c r="Q31" s="4"/>
      <c r="R31" s="7"/>
    </row>
    <row r="32" spans="2:18" ht="29.25" customHeight="1" x14ac:dyDescent="0.3">
      <c r="B32" s="5"/>
      <c r="C32" s="150"/>
      <c r="D32" s="22" t="str">
        <f>K12</f>
        <v>F7:Picking-up and releasing objects handled</v>
      </c>
      <c r="E32" s="54">
        <v>0</v>
      </c>
      <c r="F32" s="52">
        <v>0</v>
      </c>
      <c r="G32" s="53">
        <v>0</v>
      </c>
      <c r="H32" s="52">
        <v>0</v>
      </c>
      <c r="I32" s="52">
        <v>0</v>
      </c>
      <c r="J32" s="52">
        <v>0</v>
      </c>
      <c r="K32" s="52">
        <v>0</v>
      </c>
      <c r="L32" s="57">
        <v>0</v>
      </c>
      <c r="M32" s="4"/>
      <c r="N32" s="4"/>
      <c r="O32" s="4"/>
      <c r="P32" s="4"/>
      <c r="Q32" s="4"/>
      <c r="R32" s="7"/>
    </row>
    <row r="33" spans="2:18" ht="29.25" customHeight="1" x14ac:dyDescent="0.3">
      <c r="B33" s="5"/>
      <c r="C33" s="150"/>
      <c r="D33" s="22" t="str">
        <f>L12</f>
        <v>F8:Partly transforming solar energy to electric energy</v>
      </c>
      <c r="E33" s="54">
        <v>0</v>
      </c>
      <c r="F33" s="52">
        <v>0</v>
      </c>
      <c r="G33" s="53">
        <v>0</v>
      </c>
      <c r="H33" s="52">
        <v>0</v>
      </c>
      <c r="I33" s="52">
        <v>0</v>
      </c>
      <c r="J33" s="52">
        <v>0</v>
      </c>
      <c r="K33" s="52">
        <v>0</v>
      </c>
      <c r="L33" s="57">
        <v>0</v>
      </c>
      <c r="M33" s="4"/>
      <c r="N33" s="4"/>
      <c r="O33" s="4"/>
      <c r="P33" s="4"/>
      <c r="Q33" s="4"/>
      <c r="R33" s="7"/>
    </row>
    <row r="34" spans="2:18" ht="6.75" customHeight="1" x14ac:dyDescent="0.3">
      <c r="B34" s="5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7"/>
    </row>
    <row r="35" spans="2:18" ht="13.5" customHeight="1" x14ac:dyDescent="0.3">
      <c r="B35" s="5"/>
      <c r="C35" s="4"/>
      <c r="D35" s="23" t="s">
        <v>24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7"/>
    </row>
    <row r="36" spans="2:18" x14ac:dyDescent="0.3">
      <c r="B36" s="5"/>
      <c r="C36" s="4"/>
      <c r="D36" s="4"/>
      <c r="E36" s="4"/>
      <c r="F36" s="4"/>
      <c r="I36" s="4"/>
      <c r="J36" s="4"/>
      <c r="K36" s="4"/>
      <c r="L36" s="4"/>
      <c r="M36" s="4"/>
      <c r="N36" s="4"/>
      <c r="O36" s="4"/>
      <c r="P36" s="4"/>
      <c r="Q36" s="4"/>
      <c r="R36" s="7"/>
    </row>
    <row r="37" spans="2:18" x14ac:dyDescent="0.3">
      <c r="B37" s="5"/>
      <c r="C37" s="4"/>
      <c r="D37" s="10" t="s">
        <v>25</v>
      </c>
      <c r="E37" s="4"/>
      <c r="F37" s="4"/>
      <c r="J37" s="4"/>
      <c r="K37" s="4"/>
      <c r="L37" s="4"/>
      <c r="M37" s="4"/>
      <c r="N37" s="4"/>
      <c r="O37" s="4"/>
      <c r="P37" s="4"/>
      <c r="Q37" s="4"/>
      <c r="R37" s="7"/>
    </row>
    <row r="38" spans="2:18" x14ac:dyDescent="0.3">
      <c r="B38" s="5"/>
      <c r="C38" s="4"/>
      <c r="D38" s="10"/>
      <c r="E38" s="4"/>
      <c r="F38" s="4"/>
      <c r="J38" s="4"/>
      <c r="K38" s="4"/>
      <c r="L38" s="4"/>
      <c r="M38" s="4"/>
      <c r="N38" s="4"/>
      <c r="O38" s="4"/>
      <c r="P38" s="4"/>
      <c r="Q38" s="4"/>
      <c r="R38" s="7"/>
    </row>
    <row r="39" spans="2:18" x14ac:dyDescent="0.3">
      <c r="B39" s="5"/>
      <c r="C39" s="4"/>
      <c r="D39" s="4"/>
      <c r="E39" s="149" t="s">
        <v>156</v>
      </c>
      <c r="F39" s="149"/>
      <c r="J39" s="4"/>
      <c r="K39" s="4"/>
      <c r="L39" s="4"/>
      <c r="M39" s="4"/>
      <c r="N39" s="4"/>
      <c r="O39" s="4"/>
      <c r="P39" s="4"/>
      <c r="Q39" s="4"/>
      <c r="R39" s="7"/>
    </row>
    <row r="40" spans="2:18" ht="15" thickBot="1" x14ac:dyDescent="0.35">
      <c r="B40" s="5"/>
      <c r="C40" s="4"/>
      <c r="D40" s="4"/>
      <c r="E40" s="24" t="s">
        <v>26</v>
      </c>
      <c r="F40" s="24" t="s">
        <v>27</v>
      </c>
      <c r="J40" s="4"/>
      <c r="K40" s="4"/>
      <c r="L40" s="4"/>
      <c r="M40" s="4"/>
      <c r="N40" s="4"/>
      <c r="O40" s="4"/>
      <c r="P40" s="4"/>
      <c r="Q40" s="4"/>
      <c r="R40" s="7"/>
    </row>
    <row r="41" spans="2:18" ht="22.5" customHeight="1" x14ac:dyDescent="0.3">
      <c r="B41" s="5"/>
      <c r="C41" s="150" t="s">
        <v>15</v>
      </c>
      <c r="D41" s="25" t="s">
        <v>16</v>
      </c>
      <c r="E41" s="26">
        <v>1</v>
      </c>
      <c r="F41" s="27">
        <v>0</v>
      </c>
      <c r="J41" s="4"/>
      <c r="K41" s="4"/>
      <c r="L41" s="4"/>
      <c r="M41" s="4"/>
      <c r="N41" s="4"/>
      <c r="O41" s="4"/>
      <c r="P41" s="4"/>
      <c r="Q41" s="4"/>
      <c r="R41" s="7"/>
    </row>
    <row r="42" spans="2:18" ht="22.5" customHeight="1" x14ac:dyDescent="0.3">
      <c r="B42" s="5"/>
      <c r="C42" s="150"/>
      <c r="D42" s="25" t="s">
        <v>17</v>
      </c>
      <c r="E42" s="28">
        <v>0</v>
      </c>
      <c r="F42" s="29">
        <v>1</v>
      </c>
      <c r="J42" s="4"/>
      <c r="K42" s="4"/>
      <c r="L42" s="4"/>
      <c r="M42" s="4"/>
      <c r="N42" s="4"/>
      <c r="O42" s="4"/>
      <c r="P42" s="4"/>
      <c r="Q42" s="4"/>
      <c r="R42" s="7"/>
    </row>
    <row r="43" spans="2:18" ht="22.5" customHeight="1" x14ac:dyDescent="0.3">
      <c r="B43" s="5"/>
      <c r="C43" s="150"/>
      <c r="D43" s="30" t="s">
        <v>18</v>
      </c>
      <c r="E43" s="28">
        <v>1</v>
      </c>
      <c r="F43" s="29">
        <v>0</v>
      </c>
      <c r="J43" s="4"/>
      <c r="K43" s="4"/>
      <c r="L43" s="4"/>
      <c r="M43" s="4"/>
      <c r="N43" s="4"/>
      <c r="O43" s="4"/>
      <c r="P43" s="4"/>
      <c r="Q43" s="4"/>
      <c r="R43" s="7"/>
    </row>
    <row r="44" spans="2:18" ht="22.5" customHeight="1" x14ac:dyDescent="0.3">
      <c r="B44" s="5"/>
      <c r="C44" s="150"/>
      <c r="D44" s="25" t="s">
        <v>19</v>
      </c>
      <c r="E44" s="28">
        <v>1</v>
      </c>
      <c r="F44" s="29">
        <v>0</v>
      </c>
      <c r="J44" s="4"/>
      <c r="K44" s="4"/>
      <c r="L44" s="4"/>
      <c r="M44" s="4"/>
      <c r="N44" s="4"/>
      <c r="O44" s="4"/>
      <c r="P44" s="4"/>
      <c r="Q44" s="4"/>
      <c r="R44" s="7"/>
    </row>
    <row r="45" spans="2:18" ht="22.5" customHeight="1" x14ac:dyDescent="0.3">
      <c r="B45" s="5"/>
      <c r="C45" s="150"/>
      <c r="D45" s="25" t="s">
        <v>20</v>
      </c>
      <c r="E45" s="28">
        <v>0</v>
      </c>
      <c r="F45" s="29">
        <v>1</v>
      </c>
      <c r="J45" s="4"/>
      <c r="K45" s="4"/>
      <c r="L45" s="4"/>
      <c r="M45" s="4"/>
      <c r="N45" s="4"/>
      <c r="O45" s="4"/>
      <c r="P45" s="4"/>
      <c r="Q45" s="4"/>
      <c r="R45" s="7"/>
    </row>
    <row r="46" spans="2:18" ht="22.5" customHeight="1" x14ac:dyDescent="0.3">
      <c r="B46" s="5"/>
      <c r="C46" s="150"/>
      <c r="D46" s="25" t="s">
        <v>21</v>
      </c>
      <c r="E46" s="28">
        <v>1</v>
      </c>
      <c r="F46" s="29">
        <v>0</v>
      </c>
      <c r="J46" s="4"/>
      <c r="K46" s="4"/>
      <c r="L46" s="4"/>
      <c r="M46" s="4"/>
      <c r="N46" s="4"/>
      <c r="O46" s="4"/>
      <c r="P46" s="4"/>
      <c r="Q46" s="4"/>
      <c r="R46" s="7"/>
    </row>
    <row r="47" spans="2:18" ht="22.5" customHeight="1" x14ac:dyDescent="0.3">
      <c r="B47" s="5"/>
      <c r="C47" s="150"/>
      <c r="D47" s="25" t="s">
        <v>22</v>
      </c>
      <c r="E47" s="28">
        <v>1</v>
      </c>
      <c r="F47" s="29">
        <v>1</v>
      </c>
      <c r="J47" s="4"/>
      <c r="K47" s="4"/>
      <c r="L47" s="4"/>
      <c r="M47" s="4"/>
      <c r="N47" s="4"/>
      <c r="O47" s="4"/>
      <c r="P47" s="4"/>
      <c r="Q47" s="4"/>
      <c r="R47" s="7"/>
    </row>
    <row r="48" spans="2:18" ht="22.5" customHeight="1" thickBot="1" x14ac:dyDescent="0.35">
      <c r="B48" s="5"/>
      <c r="C48" s="150"/>
      <c r="D48" s="25" t="s">
        <v>23</v>
      </c>
      <c r="E48" s="31">
        <v>1</v>
      </c>
      <c r="F48" s="32">
        <v>1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7"/>
    </row>
    <row r="49" spans="2:18" ht="22.5" customHeight="1" x14ac:dyDescent="0.3">
      <c r="B49" s="5"/>
      <c r="C49" s="33"/>
      <c r="D49" s="23" t="s">
        <v>28</v>
      </c>
      <c r="E49" s="34"/>
      <c r="F49" s="3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7"/>
    </row>
    <row r="50" spans="2:18" ht="15" thickBot="1" x14ac:dyDescent="0.3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7"/>
    </row>
    <row r="56" spans="2:18" x14ac:dyDescent="0.3">
      <c r="P56" s="58"/>
    </row>
  </sheetData>
  <mergeCells count="6">
    <mergeCell ref="E11:L11"/>
    <mergeCell ref="E39:F39"/>
    <mergeCell ref="C41:C48"/>
    <mergeCell ref="E24:L24"/>
    <mergeCell ref="C26:C33"/>
    <mergeCell ref="C13:C18"/>
  </mergeCells>
  <dataValidations count="3">
    <dataValidation type="list" allowBlank="1" showInputMessage="1" showErrorMessage="1" sqref="E15:I18 J13:L18" xr:uid="{00000000-0002-0000-0000-000000000000}">
      <formula1>"0%, 10%, 20%, 30%, 40%, 50%, 60%, 70%, 80%, 90%, 100%"</formula1>
    </dataValidation>
    <dataValidation type="list" allowBlank="1" showInputMessage="1" showErrorMessage="1" sqref="E41:F48" xr:uid="{00000000-0002-0000-0000-000001000000}">
      <formula1>"0,1"</formula1>
    </dataValidation>
    <dataValidation type="list" allowBlank="1" showInputMessage="1" showErrorMessage="1" sqref="E30:F33 G31 G32:L33 J31:L31 H30:I31" xr:uid="{00000000-0002-0000-0000-000002000000}">
      <formula1>"0,1,2,3,4,5"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tton8_Click">
                <anchor moveWithCells="1" sizeWithCells="1">
                  <from>
                    <xdr:col>7</xdr:col>
                    <xdr:colOff>22860</xdr:colOff>
                    <xdr:row>46</xdr:row>
                    <xdr:rowOff>45720</xdr:rowOff>
                  </from>
                  <to>
                    <xdr:col>8</xdr:col>
                    <xdr:colOff>1127760</xdr:colOff>
                    <xdr:row>48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XFD49"/>
  <sheetViews>
    <sheetView showGridLines="0" showRowColHeaders="0" zoomScale="85" zoomScaleNormal="85" workbookViewId="0">
      <selection activeCell="H1" sqref="H1"/>
    </sheetView>
  </sheetViews>
  <sheetFormatPr defaultRowHeight="14.4" x14ac:dyDescent="0.3"/>
  <cols>
    <col min="2" max="2" width="4.88671875" customWidth="1"/>
    <col min="3" max="3" width="21.44140625" customWidth="1"/>
    <col min="4" max="5" width="13" customWidth="1"/>
    <col min="6" max="6" width="19" customWidth="1"/>
    <col min="7" max="7" width="8.109375" customWidth="1"/>
    <col min="8" max="8" width="14.44140625" customWidth="1"/>
    <col min="9" max="9" width="14.6640625" customWidth="1"/>
    <col min="10" max="10" width="12.5546875" customWidth="1"/>
    <col min="11" max="11" width="17.33203125" customWidth="1"/>
    <col min="12" max="12" width="5.88671875" customWidth="1"/>
    <col min="13" max="14" width="9.109375" hidden="1" customWidth="1"/>
    <col min="15" max="15" width="19.33203125" hidden="1" customWidth="1"/>
    <col min="16" max="17" width="9.109375" hidden="1" customWidth="1"/>
    <col min="18" max="18" width="13.6640625" hidden="1" customWidth="1"/>
    <col min="19" max="19" width="9.109375" hidden="1" customWidth="1"/>
    <col min="20" max="20" width="11.109375" hidden="1" customWidth="1"/>
    <col min="21" max="24" width="9.109375" hidden="1" customWidth="1"/>
    <col min="25" max="25" width="9.109375" customWidth="1"/>
  </cols>
  <sheetData>
    <row r="1" spans="2:23" ht="15" thickBot="1" x14ac:dyDescent="0.35"/>
    <row r="2" spans="2:23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3"/>
      <c r="O2" s="10" t="s">
        <v>67</v>
      </c>
      <c r="P2" s="4"/>
      <c r="Q2" s="4"/>
      <c r="R2" s="4"/>
      <c r="S2" s="4"/>
      <c r="T2" s="4"/>
      <c r="U2" s="4"/>
      <c r="V2" s="4"/>
      <c r="W2" s="4"/>
    </row>
    <row r="3" spans="2:23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4"/>
      <c r="L3" s="7"/>
      <c r="T3" s="4"/>
      <c r="U3" s="4"/>
      <c r="V3" s="4"/>
      <c r="W3" s="4"/>
    </row>
    <row r="4" spans="2:23" x14ac:dyDescent="0.3">
      <c r="B4" s="5"/>
      <c r="C4" s="4"/>
      <c r="D4" s="4"/>
      <c r="E4" s="4"/>
      <c r="F4" s="4"/>
      <c r="G4" s="4"/>
      <c r="H4" s="4"/>
      <c r="I4" s="4"/>
      <c r="J4" s="4"/>
      <c r="K4" s="4"/>
      <c r="L4" s="7"/>
      <c r="O4" s="4"/>
      <c r="P4" s="63" t="s">
        <v>32</v>
      </c>
      <c r="Q4" s="63" t="s">
        <v>31</v>
      </c>
      <c r="R4" s="63" t="s">
        <v>50</v>
      </c>
      <c r="S4" s="63" t="s">
        <v>30</v>
      </c>
      <c r="T4" s="63" t="s">
        <v>29</v>
      </c>
      <c r="U4" s="63" t="s">
        <v>49</v>
      </c>
      <c r="V4" s="63" t="s">
        <v>48</v>
      </c>
      <c r="W4" s="63" t="s">
        <v>47</v>
      </c>
    </row>
    <row r="5" spans="2:23" ht="18" x14ac:dyDescent="0.35">
      <c r="B5" s="5"/>
      <c r="C5" s="8" t="s">
        <v>66</v>
      </c>
      <c r="D5" s="4"/>
      <c r="E5" s="4"/>
      <c r="F5" s="4"/>
      <c r="G5" s="4"/>
      <c r="H5" s="4"/>
      <c r="I5" s="4"/>
      <c r="J5" s="4"/>
      <c r="K5" s="4"/>
      <c r="L5" s="7"/>
      <c r="O5" s="63" t="s">
        <v>61</v>
      </c>
      <c r="P5" s="63">
        <f>IF(Phase1_Input!E26&gt;0,1,0)</f>
        <v>1</v>
      </c>
      <c r="Q5" s="63">
        <f>IF(Phase1_Input!F26&gt;0,1,0)</f>
        <v>0</v>
      </c>
      <c r="R5" s="63">
        <f>IF(Phase1_Input!G26&gt;0,1,0)</f>
        <v>0</v>
      </c>
      <c r="S5" s="63">
        <f>IF(Phase1_Input!H26&gt;0,1,0)</f>
        <v>0</v>
      </c>
      <c r="T5" s="63">
        <f>IF(Phase1_Input!I26&gt;0,1,0)</f>
        <v>1</v>
      </c>
      <c r="U5" s="63">
        <f>IF(Phase1_Input!J26&gt;0,1,0)</f>
        <v>0</v>
      </c>
      <c r="V5" s="63">
        <f>IF(Phase1_Input!K26&gt;0,1,0)</f>
        <v>0</v>
      </c>
      <c r="W5" s="63">
        <f>IF(Phase1_Input!L26&gt;0,1,0)</f>
        <v>0</v>
      </c>
    </row>
    <row r="6" spans="2:23" ht="17.25" customHeight="1" x14ac:dyDescent="0.35">
      <c r="B6" s="5"/>
      <c r="C6" s="8"/>
      <c r="D6" s="4"/>
      <c r="E6" s="4"/>
      <c r="F6" s="4"/>
      <c r="G6" s="4"/>
      <c r="H6" s="4"/>
      <c r="I6" s="4"/>
      <c r="J6" s="4"/>
      <c r="K6" s="4"/>
      <c r="L6" s="7"/>
      <c r="O6" s="63" t="s">
        <v>60</v>
      </c>
      <c r="P6" s="63">
        <f>IF(Phase1_Input!E27&gt;0,1,0)</f>
        <v>0</v>
      </c>
      <c r="Q6" s="63">
        <f>IF(Phase1_Input!F27&gt;0,1,0)</f>
        <v>0</v>
      </c>
      <c r="R6" s="63">
        <f>IF(Phase1_Input!G27&gt;0,1,0)</f>
        <v>0</v>
      </c>
      <c r="S6" s="63">
        <f>IF(Phase1_Input!H27&gt;0,1,0)</f>
        <v>0</v>
      </c>
      <c r="T6" s="63">
        <f>IF(Phase1_Input!I27&gt;0,1,0)</f>
        <v>1</v>
      </c>
      <c r="U6" s="63">
        <f>IF(Phase1_Input!J27&gt;0,1,0)</f>
        <v>0</v>
      </c>
      <c r="V6" s="63">
        <f>IF(Phase1_Input!K27&gt;0,1,0)</f>
        <v>0</v>
      </c>
      <c r="W6" s="63">
        <f>IF(Phase1_Input!L27&gt;0,1,0)</f>
        <v>0</v>
      </c>
    </row>
    <row r="7" spans="2:23" x14ac:dyDescent="0.3">
      <c r="B7" s="5"/>
      <c r="L7" s="7"/>
      <c r="O7" s="63" t="s">
        <v>59</v>
      </c>
      <c r="P7" s="63">
        <f>IF(Phase1_Input!E28&gt;0,1,0)</f>
        <v>1</v>
      </c>
      <c r="Q7" s="63">
        <f>IF(Phase1_Input!F28&gt;0,1,0)</f>
        <v>0</v>
      </c>
      <c r="R7" s="63">
        <f>IF(Phase1_Input!G28&gt;0,1,0)</f>
        <v>0</v>
      </c>
      <c r="S7" s="63">
        <f>IF(Phase1_Input!H28&gt;0,1,0)</f>
        <v>0</v>
      </c>
      <c r="T7" s="63">
        <f>IF(Phase1_Input!I28&gt;0,1,0)</f>
        <v>1</v>
      </c>
      <c r="U7" s="63">
        <f>IF(Phase1_Input!J28&gt;0,1,0)</f>
        <v>0</v>
      </c>
      <c r="V7" s="63">
        <f>IF(Phase1_Input!K28&gt;0,1,0)</f>
        <v>1</v>
      </c>
      <c r="W7" s="63">
        <f>IF(Phase1_Input!L28&gt;0,1,0)</f>
        <v>0</v>
      </c>
    </row>
    <row r="8" spans="2:23" x14ac:dyDescent="0.3">
      <c r="B8" s="5"/>
      <c r="C8" s="10" t="s">
        <v>151</v>
      </c>
      <c r="D8" s="4"/>
      <c r="E8" s="4"/>
      <c r="F8" s="4"/>
      <c r="G8" s="4"/>
      <c r="H8" s="4"/>
      <c r="I8" s="4"/>
      <c r="J8" s="4"/>
      <c r="K8" s="4"/>
      <c r="L8" s="7"/>
      <c r="O8" s="63" t="s">
        <v>58</v>
      </c>
      <c r="P8" s="63">
        <f>IF(Phase1_Input!E29&gt;0,1,0)</f>
        <v>1</v>
      </c>
      <c r="Q8" s="63">
        <f>IF(Phase1_Input!F29&gt;0,1,0)</f>
        <v>1</v>
      </c>
      <c r="R8" s="63">
        <f>IF(Phase1_Input!G29&gt;0,1,0)</f>
        <v>1</v>
      </c>
      <c r="S8" s="63">
        <f>IF(Phase1_Input!H29&gt;0,1,0)</f>
        <v>1</v>
      </c>
      <c r="T8" s="63">
        <f>IF(Phase1_Input!I29&gt;0,1,0)</f>
        <v>1</v>
      </c>
      <c r="U8" s="63">
        <f>IF(Phase1_Input!J29&gt;0,1,0)</f>
        <v>1</v>
      </c>
      <c r="V8" s="63">
        <f>IF(Phase1_Input!K29&gt;0,1,0)</f>
        <v>0</v>
      </c>
      <c r="W8" s="63">
        <f>IF(Phase1_Input!L29&gt;0,1,0)</f>
        <v>1</v>
      </c>
    </row>
    <row r="9" spans="2:23" x14ac:dyDescent="0.3">
      <c r="B9" s="5"/>
      <c r="C9" s="4"/>
      <c r="D9" s="4"/>
      <c r="E9" s="4"/>
      <c r="F9" s="4"/>
      <c r="G9" s="4"/>
      <c r="H9" s="4"/>
      <c r="I9" s="4"/>
      <c r="J9" s="4"/>
      <c r="K9" s="4"/>
      <c r="L9" s="7"/>
      <c r="O9" s="63" t="s">
        <v>57</v>
      </c>
      <c r="P9" s="63">
        <f>IF(Phase1_Input!E30&gt;0,1,0)</f>
        <v>1</v>
      </c>
      <c r="Q9" s="63">
        <f>IF(Phase1_Input!F30&gt;0,1,0)</f>
        <v>1</v>
      </c>
      <c r="R9" s="63">
        <f>IF(Phase1_Input!G30&gt;0,1,0)</f>
        <v>0</v>
      </c>
      <c r="S9" s="63">
        <f>IF(Phase1_Input!H30&gt;0,1,0)</f>
        <v>1</v>
      </c>
      <c r="T9" s="63">
        <f>IF(Phase1_Input!I30&gt;0,1,0)</f>
        <v>1</v>
      </c>
      <c r="U9" s="63">
        <f>IF(Phase1_Input!J30&gt;0,1,0)</f>
        <v>0</v>
      </c>
      <c r="V9" s="63">
        <f>IF(Phase1_Input!K30&gt;0,1,0)</f>
        <v>0</v>
      </c>
      <c r="W9" s="63">
        <f>IF(Phase1_Input!L30&gt;0,1,0)</f>
        <v>0</v>
      </c>
    </row>
    <row r="10" spans="2:23" x14ac:dyDescent="0.3">
      <c r="B10" s="5"/>
      <c r="F10" s="4"/>
      <c r="H10" s="151" t="s">
        <v>65</v>
      </c>
      <c r="I10" s="151"/>
      <c r="J10" s="151"/>
      <c r="K10" s="151"/>
      <c r="L10" s="7"/>
      <c r="O10" s="63" t="s">
        <v>68</v>
      </c>
      <c r="P10" s="63">
        <f>IF(Phase1_Input!E31&gt;0,1,0)</f>
        <v>1</v>
      </c>
      <c r="Q10" s="63">
        <f>IF(Phase1_Input!F31&gt;0,1,0)</f>
        <v>0</v>
      </c>
      <c r="R10" s="63">
        <f>IF(Phase1_Input!G31&gt;0,1,0)</f>
        <v>0</v>
      </c>
      <c r="S10" s="63">
        <f>IF(Phase1_Input!H31&gt;0,1,0)</f>
        <v>0</v>
      </c>
      <c r="T10" s="63">
        <f>IF(Phase1_Input!I31&gt;0,1,0)</f>
        <v>1</v>
      </c>
      <c r="U10" s="63">
        <f>IF(Phase1_Input!J31&gt;0,1,0)</f>
        <v>0</v>
      </c>
      <c r="V10" s="63">
        <f>IF(Phase1_Input!K31&gt;0,1,0)</f>
        <v>0</v>
      </c>
      <c r="W10" s="63">
        <f>IF(Phase1_Input!L31&gt;0,1,0)</f>
        <v>0</v>
      </c>
    </row>
    <row r="11" spans="2:23" x14ac:dyDescent="0.3">
      <c r="B11" s="5"/>
      <c r="C11" s="4"/>
      <c r="D11" s="63" t="s">
        <v>64</v>
      </c>
      <c r="E11" s="63" t="s">
        <v>63</v>
      </c>
      <c r="F11" s="4"/>
      <c r="G11" s="69"/>
      <c r="H11" s="151"/>
      <c r="I11" s="151"/>
      <c r="J11" s="151"/>
      <c r="K11" s="151"/>
      <c r="L11" s="7"/>
      <c r="O11" s="63" t="s">
        <v>69</v>
      </c>
      <c r="P11" s="63">
        <f>IF(Phase1_Input!E32&gt;0,1,0)</f>
        <v>0</v>
      </c>
      <c r="Q11" s="63">
        <f>IF(Phase1_Input!F32&gt;0,1,0)</f>
        <v>0</v>
      </c>
      <c r="R11" s="63">
        <f>IF(Phase1_Input!G32&gt;0,1,0)</f>
        <v>0</v>
      </c>
      <c r="S11" s="63">
        <f>IF(Phase1_Input!H32&gt;0,1,0)</f>
        <v>0</v>
      </c>
      <c r="T11" s="63">
        <f>IF(Phase1_Input!I32&gt;0,1,0)</f>
        <v>0</v>
      </c>
      <c r="U11" s="63">
        <f>IF(Phase1_Input!J32&gt;0,1,0)</f>
        <v>0</v>
      </c>
      <c r="V11" s="63">
        <f>IF(Phase1_Input!K32&gt;0,1,0)</f>
        <v>0</v>
      </c>
      <c r="W11" s="63">
        <f>IF(Phase1_Input!L32&gt;0,1,0)</f>
        <v>0</v>
      </c>
    </row>
    <row r="12" spans="2:23" x14ac:dyDescent="0.3">
      <c r="B12" s="5"/>
      <c r="C12" s="63" t="s">
        <v>61</v>
      </c>
      <c r="D12" s="64">
        <f t="array" ref="D12:E19">MMULT(Phase1_Input!E26:L33,Phase1_Input!E41:F48)/(MMULT(Phase1_Output!P5:W12,Phase1_Input!E41:F48)+0.00000001)</f>
        <v>4.9999999500000012</v>
      </c>
      <c r="E12" s="64">
        <v>4.9999999500000012</v>
      </c>
      <c r="F12" s="4"/>
      <c r="G12" s="69"/>
      <c r="H12" s="69"/>
      <c r="I12" s="69"/>
      <c r="J12" s="69"/>
      <c r="K12" s="4"/>
      <c r="L12" s="7"/>
      <c r="O12" s="63" t="s">
        <v>70</v>
      </c>
      <c r="P12" s="63">
        <f>IF(Phase1_Input!E33&gt;0,1,0)</f>
        <v>0</v>
      </c>
      <c r="Q12" s="63">
        <f>IF(Phase1_Input!F33&gt;0,1,0)</f>
        <v>0</v>
      </c>
      <c r="R12" s="63">
        <f>IF(Phase1_Input!G33&gt;0,1,0)</f>
        <v>0</v>
      </c>
      <c r="S12" s="63">
        <f>IF(Phase1_Input!H33&gt;0,1,0)</f>
        <v>0</v>
      </c>
      <c r="T12" s="63">
        <f>IF(Phase1_Input!I33&gt;0,1,0)</f>
        <v>0</v>
      </c>
      <c r="U12" s="63">
        <f>IF(Phase1_Input!J33&gt;0,1,0)</f>
        <v>0</v>
      </c>
      <c r="V12" s="63">
        <f>IF(Phase1_Input!K33&gt;0,1,0)</f>
        <v>0</v>
      </c>
      <c r="W12" s="63">
        <f>IF(Phase1_Input!L33&gt;0,1,0)</f>
        <v>0</v>
      </c>
    </row>
    <row r="13" spans="2:23" x14ac:dyDescent="0.3">
      <c r="B13" s="5"/>
      <c r="C13" s="63" t="s">
        <v>60</v>
      </c>
      <c r="D13" s="64">
        <v>0</v>
      </c>
      <c r="E13" s="64">
        <v>2.9999999700000006</v>
      </c>
      <c r="F13" s="4"/>
      <c r="H13" s="67" t="s">
        <v>52</v>
      </c>
      <c r="I13" s="66" t="s">
        <v>51</v>
      </c>
      <c r="J13" s="4"/>
      <c r="K13" s="4"/>
      <c r="L13" s="7"/>
      <c r="O13" s="63"/>
      <c r="P13" s="63"/>
      <c r="Q13" s="63"/>
      <c r="R13" s="63"/>
      <c r="S13" s="63"/>
      <c r="T13" s="63"/>
      <c r="U13" s="63"/>
      <c r="V13" s="63"/>
      <c r="W13" s="63"/>
    </row>
    <row r="14" spans="2:23" x14ac:dyDescent="0.3">
      <c r="B14" s="5"/>
      <c r="C14" s="63" t="s">
        <v>59</v>
      </c>
      <c r="D14" s="64">
        <v>4.4999999774999999</v>
      </c>
      <c r="E14" s="64">
        <v>4.4999999774999999</v>
      </c>
      <c r="F14" s="4"/>
      <c r="H14" s="63">
        <v>0</v>
      </c>
      <c r="I14" s="62" t="s">
        <v>45</v>
      </c>
      <c r="J14" s="4"/>
      <c r="K14" s="4"/>
      <c r="L14" s="7"/>
      <c r="O14" s="10" t="s">
        <v>62</v>
      </c>
      <c r="P14" s="4"/>
      <c r="Q14" s="4"/>
      <c r="R14" s="4"/>
      <c r="S14" s="4"/>
      <c r="T14" s="4"/>
      <c r="U14" s="4"/>
      <c r="V14" s="4"/>
      <c r="W14" s="4"/>
    </row>
    <row r="15" spans="2:23" x14ac:dyDescent="0.3">
      <c r="B15" s="5"/>
      <c r="C15" s="63" t="s">
        <v>58</v>
      </c>
      <c r="D15" s="64">
        <v>3.5999999927999999</v>
      </c>
      <c r="E15" s="64">
        <v>2.9999999900000001</v>
      </c>
      <c r="F15" s="4"/>
      <c r="H15" s="63">
        <v>1</v>
      </c>
      <c r="I15" s="62" t="s">
        <v>42</v>
      </c>
      <c r="J15" s="4"/>
      <c r="K15" s="4"/>
      <c r="L15" s="7"/>
      <c r="O15" s="4"/>
      <c r="P15" s="4"/>
      <c r="Q15" s="4"/>
      <c r="R15" s="4"/>
      <c r="S15" s="4"/>
      <c r="T15" s="4"/>
      <c r="U15" s="4"/>
      <c r="V15" s="4"/>
      <c r="W15" s="4"/>
    </row>
    <row r="16" spans="2:23" ht="15" customHeight="1" x14ac:dyDescent="0.3">
      <c r="B16" s="5"/>
      <c r="C16" s="63" t="s">
        <v>57</v>
      </c>
      <c r="D16" s="64">
        <v>0.99999999500000003</v>
      </c>
      <c r="E16" s="64">
        <v>0.99999999500000003</v>
      </c>
      <c r="F16" s="4"/>
      <c r="H16" s="63">
        <v>2</v>
      </c>
      <c r="I16" s="62" t="s">
        <v>39</v>
      </c>
      <c r="J16" s="4"/>
      <c r="K16" s="4"/>
      <c r="L16" s="7"/>
      <c r="O16" s="4"/>
      <c r="P16" s="20" t="s">
        <v>61</v>
      </c>
      <c r="Q16" s="20" t="s">
        <v>60</v>
      </c>
      <c r="R16" s="20" t="s">
        <v>59</v>
      </c>
      <c r="S16" s="20" t="s">
        <v>58</v>
      </c>
      <c r="T16" s="20" t="s">
        <v>57</v>
      </c>
      <c r="U16" s="20" t="s">
        <v>68</v>
      </c>
      <c r="V16" s="20" t="s">
        <v>69</v>
      </c>
      <c r="W16" s="20" t="s">
        <v>70</v>
      </c>
    </row>
    <row r="17" spans="1:23 16384:16384" x14ac:dyDescent="0.3">
      <c r="B17" s="5"/>
      <c r="C17" s="63" t="s">
        <v>68</v>
      </c>
      <c r="D17" s="64">
        <v>1.9999999800000003</v>
      </c>
      <c r="E17" s="64">
        <v>1.9999999800000003</v>
      </c>
      <c r="F17" s="4"/>
      <c r="H17" s="63">
        <v>3</v>
      </c>
      <c r="I17" s="62" t="s">
        <v>36</v>
      </c>
      <c r="J17" s="4"/>
      <c r="K17" s="4"/>
      <c r="L17" s="7"/>
      <c r="O17" s="63" t="s">
        <v>46</v>
      </c>
      <c r="P17" s="63">
        <f>IF(Phase1_Input!E13&gt;0,1,0)</f>
        <v>1</v>
      </c>
      <c r="Q17" s="63">
        <f>IF(Phase1_Input!F13&gt;0,1,0)</f>
        <v>1</v>
      </c>
      <c r="R17" s="63">
        <f>IF(Phase1_Input!G13&gt;0,1,0)</f>
        <v>1</v>
      </c>
      <c r="S17" s="63">
        <f>IF(Phase1_Input!H13&gt;0,1,0)</f>
        <v>0</v>
      </c>
      <c r="T17" s="63">
        <f>IF(Phase1_Input!I13&gt;0,1,0)</f>
        <v>0</v>
      </c>
      <c r="U17" s="63">
        <f>IF(Phase1_Input!J13&gt;0,1,0)</f>
        <v>0</v>
      </c>
      <c r="V17" s="63">
        <f>IF(Phase1_Input!K13&gt;0,1,0)</f>
        <v>0</v>
      </c>
      <c r="W17" s="63">
        <f>IF(Phase1_Input!L13&gt;0,1,0)</f>
        <v>1</v>
      </c>
    </row>
    <row r="18" spans="1:23 16384:16384" ht="15" customHeight="1" x14ac:dyDescent="0.3">
      <c r="B18" s="5"/>
      <c r="C18" s="63" t="s">
        <v>69</v>
      </c>
      <c r="D18" s="64">
        <v>0</v>
      </c>
      <c r="E18" s="64">
        <v>0</v>
      </c>
      <c r="F18" s="4"/>
      <c r="H18" s="63">
        <v>4</v>
      </c>
      <c r="I18" s="62" t="s">
        <v>35</v>
      </c>
      <c r="J18" s="4"/>
      <c r="K18" s="4"/>
      <c r="L18" s="7"/>
      <c r="O18" s="63" t="s">
        <v>43</v>
      </c>
      <c r="P18" s="63">
        <f>IF(Phase1_Input!E14&gt;0,1,0)</f>
        <v>0</v>
      </c>
      <c r="Q18" s="63">
        <f>IF(Phase1_Input!F14&gt;0,1,0)</f>
        <v>0</v>
      </c>
      <c r="R18" s="63">
        <f>IF(Phase1_Input!G14&gt;0,1,0)</f>
        <v>0</v>
      </c>
      <c r="S18" s="63">
        <f>IF(Phase1_Input!H14&gt;0,1,0)</f>
        <v>1</v>
      </c>
      <c r="T18" s="63">
        <f>IF(Phase1_Input!I14&gt;0,1,0)</f>
        <v>0</v>
      </c>
      <c r="U18" s="63">
        <f>IF(Phase1_Input!J14&gt;0,1,0)</f>
        <v>0</v>
      </c>
      <c r="V18" s="63">
        <f>IF(Phase1_Input!K14&gt;0,1,0)</f>
        <v>1</v>
      </c>
      <c r="W18" s="63">
        <f>IF(Phase1_Input!L14&gt;0,1,0)</f>
        <v>0</v>
      </c>
    </row>
    <row r="19" spans="1:23 16384:16384" x14ac:dyDescent="0.3">
      <c r="B19" s="5"/>
      <c r="C19" s="63" t="s">
        <v>70</v>
      </c>
      <c r="D19" s="64">
        <v>0</v>
      </c>
      <c r="E19" s="64">
        <v>0</v>
      </c>
      <c r="F19" s="4"/>
      <c r="H19" s="63">
        <v>5</v>
      </c>
      <c r="I19" s="62" t="s">
        <v>34</v>
      </c>
      <c r="J19" s="4"/>
      <c r="K19" s="4"/>
      <c r="L19" s="7"/>
      <c r="O19" s="63" t="s">
        <v>40</v>
      </c>
      <c r="P19" s="63">
        <f>IF(Phase1_Input!E15&gt;0,1,0)</f>
        <v>0</v>
      </c>
      <c r="Q19" s="63">
        <f>IF(Phase1_Input!F15&gt;0,1,0)</f>
        <v>1</v>
      </c>
      <c r="R19" s="63">
        <f>IF(Phase1_Input!G15&gt;0,1,0)</f>
        <v>0</v>
      </c>
      <c r="S19" s="63">
        <f>IF(Phase1_Input!H15&gt;0,1,0)</f>
        <v>0</v>
      </c>
      <c r="T19" s="63">
        <f>IF(Phase1_Input!I15&gt;0,1,0)</f>
        <v>1</v>
      </c>
      <c r="U19" s="63">
        <f>IF(Phase1_Input!J15&gt;0,1,0)</f>
        <v>1</v>
      </c>
      <c r="V19" s="63">
        <f>IF(Phase1_Input!K15&gt;0,1,0)</f>
        <v>0</v>
      </c>
      <c r="W19" s="63">
        <f>IF(Phase1_Input!L15&gt;0,1,0)</f>
        <v>1</v>
      </c>
    </row>
    <row r="20" spans="1:23 16384:16384" x14ac:dyDescent="0.3">
      <c r="B20" s="5"/>
      <c r="C20" s="63" t="s">
        <v>37</v>
      </c>
      <c r="D20" s="64">
        <f>AVERAGE(D12:D19)</f>
        <v>2.0124999869125002</v>
      </c>
      <c r="E20" s="64">
        <f>AVERAGE(E12:E19)</f>
        <v>2.3124999828125006</v>
      </c>
      <c r="H20" s="4"/>
      <c r="I20" s="4"/>
      <c r="J20" s="4"/>
      <c r="K20" s="4"/>
      <c r="L20" s="7"/>
      <c r="O20" s="63" t="s">
        <v>71</v>
      </c>
      <c r="P20" s="63">
        <f>IF(Phase1_Input!E16&gt;0,1,0)</f>
        <v>0</v>
      </c>
      <c r="Q20" s="63">
        <f>IF(Phase1_Input!F16&gt;0,1,0)</f>
        <v>1</v>
      </c>
      <c r="R20" s="63">
        <f>IF(Phase1_Input!G16&gt;0,1,0)</f>
        <v>0</v>
      </c>
      <c r="S20" s="63">
        <f>IF(Phase1_Input!H16&gt;0,1,0)</f>
        <v>0</v>
      </c>
      <c r="T20" s="63">
        <f>IF(Phase1_Input!I16&gt;0,1,0)</f>
        <v>1</v>
      </c>
      <c r="U20" s="63">
        <f>IF(Phase1_Input!J16&gt;0,1,0)</f>
        <v>1</v>
      </c>
      <c r="V20" s="63">
        <f>IF(Phase1_Input!K16&gt;0,1,0)</f>
        <v>0</v>
      </c>
      <c r="W20" s="63">
        <f>IF(Phase1_Input!L16&gt;0,1,0)</f>
        <v>1</v>
      </c>
    </row>
    <row r="21" spans="1:23 16384:16384" x14ac:dyDescent="0.3">
      <c r="B21" s="5"/>
      <c r="D21" s="4"/>
      <c r="E21" s="4"/>
      <c r="H21" s="4"/>
      <c r="I21" s="4"/>
      <c r="J21" s="4"/>
      <c r="K21" s="4"/>
      <c r="L21" s="7"/>
      <c r="O21" s="63" t="s">
        <v>72</v>
      </c>
      <c r="P21" s="63">
        <f>IF(Phase1_Input!E17&gt;0,1,0)</f>
        <v>1</v>
      </c>
      <c r="Q21" s="63">
        <f>IF(Phase1_Input!F17&gt;0,1,0)</f>
        <v>0</v>
      </c>
      <c r="R21" s="63">
        <f>IF(Phase1_Input!G17&gt;0,1,0)</f>
        <v>1</v>
      </c>
      <c r="S21" s="63">
        <f>IF(Phase1_Input!H17&gt;0,1,0)</f>
        <v>0</v>
      </c>
      <c r="T21" s="63">
        <f>IF(Phase1_Input!I17&gt;0,1,0)</f>
        <v>0</v>
      </c>
      <c r="U21" s="63">
        <f>IF(Phase1_Input!J17&gt;0,1,0)</f>
        <v>0</v>
      </c>
      <c r="V21" s="63">
        <f>IF(Phase1_Input!K17&gt;0,1,0)</f>
        <v>1</v>
      </c>
      <c r="W21" s="63">
        <f>IF(Phase1_Input!L17&gt;0,1,0)</f>
        <v>0</v>
      </c>
    </row>
    <row r="22" spans="1:23 16384:16384" x14ac:dyDescent="0.3">
      <c r="B22" s="5"/>
      <c r="H22" s="4"/>
      <c r="I22" s="4"/>
      <c r="J22" s="4"/>
      <c r="K22" s="4"/>
      <c r="L22" s="7"/>
      <c r="O22" s="63" t="s">
        <v>73</v>
      </c>
      <c r="P22" s="63">
        <f>IF(Phase1_Input!E18&gt;0,1,0)</f>
        <v>1</v>
      </c>
      <c r="Q22" s="63">
        <f>IF(Phase1_Input!F18&gt;0,1,0)</f>
        <v>0</v>
      </c>
      <c r="R22" s="63">
        <f>IF(Phase1_Input!G18&gt;0,1,0)</f>
        <v>1</v>
      </c>
      <c r="S22" s="63">
        <f>IF(Phase1_Input!H18&gt;0,1,0)</f>
        <v>0</v>
      </c>
      <c r="T22" s="63">
        <f>IF(Phase1_Input!I18&gt;0,1,0)</f>
        <v>0</v>
      </c>
      <c r="U22" s="63">
        <f>IF(Phase1_Input!J18&gt;0,1,0)</f>
        <v>0</v>
      </c>
      <c r="V22" s="63">
        <f>IF(Phase1_Input!K18&gt;0,1,0)</f>
        <v>1</v>
      </c>
      <c r="W22" s="63">
        <f>IF(Phase1_Input!L18&gt;0,1,0)</f>
        <v>0</v>
      </c>
    </row>
    <row r="23" spans="1:23 16384:16384" x14ac:dyDescent="0.3">
      <c r="B23" s="5"/>
      <c r="E23" s="4"/>
      <c r="H23" s="4"/>
      <c r="I23" s="4"/>
      <c r="J23" s="4"/>
      <c r="K23" s="4"/>
      <c r="L23" s="7"/>
    </row>
    <row r="24" spans="1:23 16384:16384" x14ac:dyDescent="0.3">
      <c r="B24" s="5"/>
      <c r="C24" s="10" t="s">
        <v>155</v>
      </c>
      <c r="H24" s="4"/>
      <c r="I24" s="4"/>
      <c r="J24" s="4"/>
      <c r="K24" s="4"/>
      <c r="L24" s="7"/>
    </row>
    <row r="25" spans="1:23 16384:16384" x14ac:dyDescent="0.3">
      <c r="B25" s="5"/>
      <c r="E25" s="4"/>
      <c r="L25" s="7"/>
    </row>
    <row r="26" spans="1:23 16384:16384" x14ac:dyDescent="0.3">
      <c r="B26" s="5"/>
      <c r="E26" s="4"/>
      <c r="H26" s="151" t="s">
        <v>174</v>
      </c>
      <c r="I26" s="151"/>
      <c r="J26" s="151"/>
      <c r="K26" s="151"/>
      <c r="L26" s="7"/>
      <c r="O26" s="10" t="s">
        <v>56</v>
      </c>
      <c r="P26" s="4"/>
      <c r="Q26" s="4"/>
      <c r="R26" s="4"/>
      <c r="S26" s="4"/>
      <c r="T26" s="4"/>
      <c r="U26" s="4"/>
      <c r="W26" s="4"/>
    </row>
    <row r="27" spans="1:23 16384:16384" ht="15" customHeight="1" x14ac:dyDescent="0.3">
      <c r="B27" s="5"/>
      <c r="D27" s="63" t="s">
        <v>55</v>
      </c>
      <c r="E27" s="63" t="s">
        <v>54</v>
      </c>
      <c r="F27" s="68" t="s">
        <v>53</v>
      </c>
      <c r="H27" s="151"/>
      <c r="I27" s="151"/>
      <c r="J27" s="151"/>
      <c r="K27" s="151"/>
      <c r="L27" s="7"/>
      <c r="P27" s="65" t="s">
        <v>32</v>
      </c>
      <c r="Q27" s="65" t="s">
        <v>31</v>
      </c>
      <c r="R27" s="65" t="s">
        <v>50</v>
      </c>
      <c r="S27" s="65" t="s">
        <v>30</v>
      </c>
      <c r="T27" s="65" t="s">
        <v>29</v>
      </c>
      <c r="U27" s="65" t="s">
        <v>49</v>
      </c>
      <c r="V27" s="65" t="s">
        <v>48</v>
      </c>
      <c r="W27" s="65" t="s">
        <v>47</v>
      </c>
    </row>
    <row r="28" spans="1:23 16384:16384" x14ac:dyDescent="0.3">
      <c r="B28" s="5"/>
      <c r="C28" s="63" t="s">
        <v>46</v>
      </c>
      <c r="D28" s="64">
        <f t="array" ref="D28:E33">MMULT(Phase1_Input!E13:L18,Phase1_Output!D12:E19)</f>
        <v>2.4499999777500006</v>
      </c>
      <c r="E28" s="64">
        <v>3.0499999717500006</v>
      </c>
      <c r="F28" s="63" t="s">
        <v>157</v>
      </c>
      <c r="G28" s="4"/>
      <c r="L28" s="7"/>
      <c r="O28" s="63" t="s">
        <v>44</v>
      </c>
      <c r="P28" s="63">
        <f t="array" ref="P28:W33">MMULT(P17:W22,P5:W12)/(MMULT(P17:W22,P5:W12)+0.00000000000000001)</f>
        <v>1</v>
      </c>
      <c r="Q28" s="63">
        <v>0</v>
      </c>
      <c r="R28" s="63">
        <v>0</v>
      </c>
      <c r="S28" s="63">
        <v>0</v>
      </c>
      <c r="T28" s="63">
        <v>1</v>
      </c>
      <c r="U28" s="63">
        <v>0</v>
      </c>
      <c r="V28" s="63">
        <v>1</v>
      </c>
      <c r="W28" s="63">
        <v>0</v>
      </c>
      <c r="XFD28" s="4"/>
    </row>
    <row r="29" spans="1:23 16384:16384" x14ac:dyDescent="0.3">
      <c r="B29" s="5"/>
      <c r="C29" s="63" t="s">
        <v>43</v>
      </c>
      <c r="D29" s="64">
        <v>2.1599999956799998</v>
      </c>
      <c r="E29" s="64">
        <v>1.799999994</v>
      </c>
      <c r="F29" s="63" t="s">
        <v>158</v>
      </c>
      <c r="G29" s="4"/>
      <c r="H29" s="67" t="s">
        <v>52</v>
      </c>
      <c r="I29" s="66" t="s">
        <v>51</v>
      </c>
      <c r="J29" s="4"/>
      <c r="K29" s="4"/>
      <c r="L29" s="7"/>
      <c r="O29" s="63" t="s">
        <v>41</v>
      </c>
      <c r="P29" s="63">
        <v>1</v>
      </c>
      <c r="Q29" s="63">
        <v>1</v>
      </c>
      <c r="R29" s="63">
        <v>1</v>
      </c>
      <c r="S29" s="63">
        <v>1</v>
      </c>
      <c r="T29" s="63">
        <v>1</v>
      </c>
      <c r="U29" s="63">
        <v>1</v>
      </c>
      <c r="V29" s="63">
        <v>0</v>
      </c>
      <c r="W29" s="63">
        <v>1</v>
      </c>
    </row>
    <row r="30" spans="1:23 16384:16384" ht="14.25" customHeight="1" x14ac:dyDescent="0.3">
      <c r="B30" s="5"/>
      <c r="C30" s="63" t="s">
        <v>40</v>
      </c>
      <c r="D30" s="64">
        <v>0.59999999600000009</v>
      </c>
      <c r="E30" s="64">
        <v>0.89999999300000011</v>
      </c>
      <c r="F30" s="63" t="s">
        <v>166</v>
      </c>
      <c r="G30" s="4"/>
      <c r="H30" s="63">
        <v>0</v>
      </c>
      <c r="I30" s="62" t="s">
        <v>45</v>
      </c>
      <c r="J30" s="4"/>
      <c r="K30" s="4"/>
      <c r="L30" s="7"/>
      <c r="O30" s="63" t="s">
        <v>38</v>
      </c>
      <c r="P30" s="63">
        <v>1</v>
      </c>
      <c r="Q30" s="63">
        <v>1</v>
      </c>
      <c r="R30" s="63">
        <v>0</v>
      </c>
      <c r="S30" s="63">
        <v>1</v>
      </c>
      <c r="T30" s="63">
        <v>1</v>
      </c>
      <c r="U30" s="63">
        <v>0</v>
      </c>
      <c r="V30" s="63">
        <v>0</v>
      </c>
      <c r="W30" s="63">
        <v>0</v>
      </c>
    </row>
    <row r="31" spans="1:23 16384:16384" x14ac:dyDescent="0.3">
      <c r="A31" s="70"/>
      <c r="B31" s="73"/>
      <c r="C31" s="63" t="s">
        <v>71</v>
      </c>
      <c r="D31" s="64">
        <v>0.59999999500000012</v>
      </c>
      <c r="E31" s="64">
        <v>0.89999999200000014</v>
      </c>
      <c r="F31" s="63" t="s">
        <v>166</v>
      </c>
      <c r="G31" s="70"/>
      <c r="H31" s="63">
        <v>1</v>
      </c>
      <c r="I31" s="62" t="s">
        <v>42</v>
      </c>
      <c r="L31" s="71"/>
      <c r="M31" s="70"/>
      <c r="O31" s="63" t="s">
        <v>74</v>
      </c>
      <c r="P31" s="63">
        <v>1</v>
      </c>
      <c r="Q31" s="63">
        <v>1</v>
      </c>
      <c r="R31" s="63">
        <v>0</v>
      </c>
      <c r="S31" s="63">
        <v>1</v>
      </c>
      <c r="T31" s="63">
        <v>1</v>
      </c>
      <c r="U31" s="63">
        <v>0</v>
      </c>
      <c r="V31" s="63">
        <v>0</v>
      </c>
      <c r="W31" s="63">
        <v>0</v>
      </c>
    </row>
    <row r="32" spans="1:23 16384:16384" x14ac:dyDescent="0.3">
      <c r="A32" s="70"/>
      <c r="B32" s="73"/>
      <c r="C32" s="63" t="s">
        <v>72</v>
      </c>
      <c r="D32" s="64">
        <v>3.2999999760000005</v>
      </c>
      <c r="E32" s="64">
        <v>3.2999999760000005</v>
      </c>
      <c r="F32" s="63" t="s">
        <v>165</v>
      </c>
      <c r="G32" s="72"/>
      <c r="H32" s="63">
        <v>2</v>
      </c>
      <c r="I32" s="62" t="s">
        <v>39</v>
      </c>
      <c r="L32" s="71"/>
      <c r="M32" s="70"/>
      <c r="O32" s="63" t="s">
        <v>75</v>
      </c>
      <c r="P32" s="63">
        <v>1</v>
      </c>
      <c r="Q32" s="63">
        <v>0</v>
      </c>
      <c r="R32" s="63">
        <v>0</v>
      </c>
      <c r="S32" s="63">
        <v>0</v>
      </c>
      <c r="T32" s="63">
        <v>1</v>
      </c>
      <c r="U32" s="63">
        <v>0</v>
      </c>
      <c r="V32" s="63">
        <v>1</v>
      </c>
      <c r="W32" s="63">
        <v>0</v>
      </c>
    </row>
    <row r="33" spans="2:23" x14ac:dyDescent="0.3">
      <c r="B33" s="5"/>
      <c r="C33" s="63" t="s">
        <v>73</v>
      </c>
      <c r="D33" s="64">
        <v>2.799999981</v>
      </c>
      <c r="E33" s="64">
        <v>2.799999981</v>
      </c>
      <c r="F33" s="63" t="s">
        <v>157</v>
      </c>
      <c r="G33" s="69"/>
      <c r="H33" s="63">
        <v>3</v>
      </c>
      <c r="I33" s="62" t="s">
        <v>36</v>
      </c>
      <c r="J33" s="69"/>
      <c r="K33" s="4"/>
      <c r="L33" s="7"/>
      <c r="O33" s="63" t="s">
        <v>76</v>
      </c>
      <c r="P33" s="63">
        <v>1</v>
      </c>
      <c r="Q33" s="63">
        <v>0</v>
      </c>
      <c r="R33" s="63">
        <v>0</v>
      </c>
      <c r="S33" s="63">
        <v>0</v>
      </c>
      <c r="T33" s="63">
        <v>1</v>
      </c>
      <c r="U33" s="63">
        <v>0</v>
      </c>
      <c r="V33" s="63">
        <v>1</v>
      </c>
      <c r="W33" s="63">
        <v>0</v>
      </c>
    </row>
    <row r="34" spans="2:23" ht="17.25" customHeight="1" x14ac:dyDescent="0.3">
      <c r="B34" s="5"/>
      <c r="C34" s="63" t="s">
        <v>37</v>
      </c>
      <c r="D34" s="64">
        <f>AVERAGE(D28:D33)</f>
        <v>1.9849999869049999</v>
      </c>
      <c r="E34" s="64">
        <f>AVERAGE(E28:E33)</f>
        <v>2.1249999846250005</v>
      </c>
      <c r="H34" s="63">
        <v>4</v>
      </c>
      <c r="I34" s="62" t="s">
        <v>35</v>
      </c>
      <c r="J34" s="4"/>
      <c r="K34" s="4"/>
      <c r="L34" s="7"/>
    </row>
    <row r="35" spans="2:23" x14ac:dyDescent="0.3">
      <c r="B35" s="5"/>
      <c r="H35" s="63">
        <v>5</v>
      </c>
      <c r="I35" s="62" t="s">
        <v>34</v>
      </c>
      <c r="J35" s="4"/>
      <c r="K35" s="4"/>
      <c r="L35" s="7"/>
    </row>
    <row r="36" spans="2:23" ht="13.5" customHeight="1" x14ac:dyDescent="0.3">
      <c r="B36" s="5"/>
      <c r="J36" s="4"/>
      <c r="K36" s="4"/>
      <c r="L36" s="7"/>
      <c r="U36" s="4"/>
    </row>
    <row r="37" spans="2:23" x14ac:dyDescent="0.3">
      <c r="B37" s="5"/>
      <c r="C37" s="10" t="s">
        <v>33</v>
      </c>
      <c r="J37" s="4"/>
      <c r="K37" s="4"/>
      <c r="L37" s="7"/>
    </row>
    <row r="38" spans="2:23" x14ac:dyDescent="0.3">
      <c r="B38" s="5"/>
      <c r="C38" s="4"/>
      <c r="J38" s="4"/>
      <c r="K38" s="4"/>
      <c r="L38" s="7"/>
      <c r="O38" t="s">
        <v>167</v>
      </c>
    </row>
    <row r="39" spans="2:23" x14ac:dyDescent="0.3">
      <c r="B39" s="5"/>
      <c r="C39" s="61" t="str">
        <f>customGT(O38,",")</f>
        <v>M1,M5,M7,M2,M3,M4,M6,M8</v>
      </c>
      <c r="D39" s="60"/>
      <c r="E39" s="59"/>
      <c r="F39" s="4"/>
      <c r="J39" s="4"/>
      <c r="K39" s="4"/>
      <c r="L39" s="7"/>
      <c r="O39" t="s">
        <v>32</v>
      </c>
      <c r="P39" t="s">
        <v>29</v>
      </c>
      <c r="Q39" t="s">
        <v>48</v>
      </c>
      <c r="R39" t="s">
        <v>31</v>
      </c>
      <c r="S39" t="s">
        <v>50</v>
      </c>
      <c r="T39" t="s">
        <v>30</v>
      </c>
      <c r="U39" t="s">
        <v>49</v>
      </c>
      <c r="V39" t="s">
        <v>47</v>
      </c>
    </row>
    <row r="40" spans="2:23" x14ac:dyDescent="0.3">
      <c r="B40" s="5"/>
      <c r="C40" s="4"/>
      <c r="D40" s="4"/>
      <c r="E40" s="4"/>
      <c r="F40" s="4"/>
      <c r="J40" s="4"/>
      <c r="K40" s="4"/>
      <c r="L40" s="7"/>
    </row>
    <row r="41" spans="2:23" ht="15" customHeight="1" x14ac:dyDescent="0.3">
      <c r="B41" s="5"/>
      <c r="F41" s="4"/>
      <c r="G41" s="4"/>
      <c r="L41" s="7"/>
    </row>
    <row r="42" spans="2:23" x14ac:dyDescent="0.3">
      <c r="B42" s="5"/>
      <c r="C42" s="4"/>
      <c r="D42" s="4"/>
      <c r="E42" s="4"/>
      <c r="F42" s="4"/>
      <c r="G42" s="4"/>
      <c r="L42" s="7"/>
    </row>
    <row r="43" spans="2:23" x14ac:dyDescent="0.3">
      <c r="B43" s="5"/>
      <c r="C43" s="4"/>
      <c r="D43" s="4"/>
      <c r="E43" s="4"/>
      <c r="F43" s="4"/>
      <c r="G43" s="4"/>
      <c r="H43" s="4"/>
      <c r="I43" s="4"/>
      <c r="J43" s="4"/>
      <c r="K43" s="4"/>
      <c r="L43" s="7"/>
    </row>
    <row r="44" spans="2:23" x14ac:dyDescent="0.3">
      <c r="B44" s="5"/>
      <c r="D44" s="4"/>
      <c r="E44" s="4"/>
      <c r="H44" s="4"/>
      <c r="I44" s="4"/>
      <c r="J44" s="4"/>
      <c r="K44" s="4"/>
      <c r="L44" s="7"/>
    </row>
    <row r="45" spans="2:23" x14ac:dyDescent="0.3">
      <c r="B45" s="5"/>
      <c r="D45" s="4"/>
      <c r="E45" s="4"/>
      <c r="F45" s="4"/>
      <c r="G45" s="4"/>
      <c r="H45" s="4"/>
      <c r="I45" s="4"/>
      <c r="J45" s="4"/>
      <c r="K45" s="4"/>
      <c r="L45" s="7"/>
    </row>
    <row r="46" spans="2:23" x14ac:dyDescent="0.3">
      <c r="B46" s="5"/>
      <c r="F46" s="4"/>
      <c r="G46" s="4"/>
      <c r="H46" s="4"/>
      <c r="I46" s="4"/>
      <c r="J46" s="4"/>
      <c r="K46" s="4"/>
      <c r="L46" s="7"/>
    </row>
    <row r="47" spans="2:23" x14ac:dyDescent="0.3">
      <c r="B47" s="5"/>
      <c r="C47" s="4"/>
      <c r="D47" s="4"/>
      <c r="E47" s="4"/>
      <c r="F47" s="4"/>
      <c r="G47" s="4"/>
      <c r="H47" s="4"/>
      <c r="I47" s="4"/>
      <c r="J47" s="4"/>
      <c r="K47" s="4"/>
      <c r="L47" s="7"/>
    </row>
    <row r="48" spans="2:23" x14ac:dyDescent="0.3">
      <c r="B48" s="5"/>
      <c r="C48" s="4"/>
      <c r="D48" s="4"/>
      <c r="E48" s="4"/>
      <c r="F48" s="4"/>
      <c r="G48" s="4"/>
      <c r="H48" s="4"/>
      <c r="I48" s="4"/>
      <c r="J48" s="4"/>
      <c r="K48" s="4"/>
      <c r="L48" s="7"/>
    </row>
    <row r="49" spans="2:12" ht="15" thickBot="1" x14ac:dyDescent="0.3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7"/>
    </row>
  </sheetData>
  <mergeCells count="2">
    <mergeCell ref="H10:K11"/>
    <mergeCell ref="H26:K27"/>
  </mergeCells>
  <conditionalFormatting sqref="C12">
    <cfRule type="expression" dxfId="17" priority="24">
      <formula>OR($D$12&lt;2.999,$E$12&lt;2.999)</formula>
    </cfRule>
  </conditionalFormatting>
  <conditionalFormatting sqref="C13">
    <cfRule type="expression" dxfId="16" priority="23">
      <formula>OR($D$13&lt;2.999,$E$13&lt;2.999)</formula>
    </cfRule>
  </conditionalFormatting>
  <conditionalFormatting sqref="C14">
    <cfRule type="expression" dxfId="15" priority="22">
      <formula>OR($D$14&lt;2.999,$E$14&lt;2.999)</formula>
    </cfRule>
  </conditionalFormatting>
  <conditionalFormatting sqref="C15">
    <cfRule type="expression" dxfId="14" priority="21">
      <formula>OR($D$15&lt;2.999,$E$15&lt;2.999)</formula>
    </cfRule>
  </conditionalFormatting>
  <conditionalFormatting sqref="C16">
    <cfRule type="expression" dxfId="13" priority="20">
      <formula>OR($D$16&lt;2.999,$E$16&lt;2.999)</formula>
    </cfRule>
  </conditionalFormatting>
  <conditionalFormatting sqref="C17">
    <cfRule type="expression" dxfId="12" priority="14">
      <formula>OR($D$16&lt;2.999,$E$16&lt;2.999)</formula>
    </cfRule>
  </conditionalFormatting>
  <conditionalFormatting sqref="C18">
    <cfRule type="expression" dxfId="11" priority="13">
      <formula>OR($D$16&lt;2.999,$E$16&lt;2.999)</formula>
    </cfRule>
  </conditionalFormatting>
  <conditionalFormatting sqref="C19">
    <cfRule type="expression" dxfId="10" priority="12">
      <formula>OR($D$16&lt;2.999,$E$16&lt;2.999)</formula>
    </cfRule>
  </conditionalFormatting>
  <conditionalFormatting sqref="C28">
    <cfRule type="expression" dxfId="9" priority="6">
      <formula>OR($D$28&lt;2.999,$E$28&lt;2.999)</formula>
    </cfRule>
  </conditionalFormatting>
  <conditionalFormatting sqref="C29">
    <cfRule type="expression" dxfId="8" priority="5">
      <formula>OR($D$29&lt;2.999,$E$29&lt;2.999)</formula>
    </cfRule>
  </conditionalFormatting>
  <conditionalFormatting sqref="C30">
    <cfRule type="expression" dxfId="7" priority="4">
      <formula>OR($D$30&lt;2.999,$E$30&lt;2.999)</formula>
    </cfRule>
  </conditionalFormatting>
  <conditionalFormatting sqref="C31">
    <cfRule type="expression" dxfId="6" priority="3">
      <formula>OR($D$31&lt;2.999,$E$31&lt;2.999)</formula>
    </cfRule>
  </conditionalFormatting>
  <conditionalFormatting sqref="C32">
    <cfRule type="expression" dxfId="5" priority="2">
      <formula>OR($D$32&lt;2.999,$E$32&lt;2.999)</formula>
    </cfRule>
  </conditionalFormatting>
  <conditionalFormatting sqref="C33">
    <cfRule type="expression" dxfId="4" priority="1">
      <formula>OR($D$33&lt;2.999,$E$33&lt;2.999)</formula>
    </cfRule>
  </conditionalFormatting>
  <dataValidations disablePrompts="1" count="1">
    <dataValidation type="list" allowBlank="1" showInputMessage="1" showErrorMessage="1" sqref="D53" xr:uid="{00000000-0002-0000-0100-000000000000}">
      <formula1>$C$48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12_Click">
                <anchor moveWithCells="1" sizeWithCells="1">
                  <from>
                    <xdr:col>9</xdr:col>
                    <xdr:colOff>0</xdr:colOff>
                    <xdr:row>45</xdr:row>
                    <xdr:rowOff>68580</xdr:rowOff>
                  </from>
                  <to>
                    <xdr:col>11</xdr:col>
                    <xdr:colOff>182880</xdr:colOff>
                    <xdr:row>48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A63"/>
  <sheetViews>
    <sheetView showGridLines="0" showRowColHeaders="0" topLeftCell="A33" zoomScale="70" zoomScaleNormal="70" workbookViewId="0">
      <selection activeCell="C65" sqref="C65"/>
    </sheetView>
  </sheetViews>
  <sheetFormatPr defaultRowHeight="14.4" x14ac:dyDescent="0.3"/>
  <cols>
    <col min="2" max="2" width="4.88671875" customWidth="1"/>
    <col min="3" max="3" width="27.6640625" customWidth="1"/>
    <col min="4" max="4" width="28.109375" customWidth="1"/>
    <col min="5" max="5" width="28.44140625" customWidth="1"/>
    <col min="6" max="6" width="24.6640625" customWidth="1"/>
    <col min="7" max="7" width="29.109375" customWidth="1"/>
    <col min="8" max="8" width="24.6640625" customWidth="1"/>
    <col min="9" max="9" width="34.109375" customWidth="1"/>
    <col min="10" max="10" width="35.6640625" customWidth="1"/>
    <col min="11" max="11" width="5.88671875" customWidth="1"/>
    <col min="12" max="12" width="5.88671875" hidden="1" customWidth="1"/>
    <col min="13" max="13" width="9.109375" hidden="1" customWidth="1"/>
    <col min="14" max="24" width="16.5546875" hidden="1" customWidth="1"/>
    <col min="25" max="26" width="13.6640625" hidden="1" customWidth="1"/>
    <col min="27" max="27" width="9.109375" hidden="1" customWidth="1"/>
    <col min="28" max="28" width="0" hidden="1" customWidth="1"/>
  </cols>
  <sheetData>
    <row r="1" spans="2:22" ht="15" thickBot="1" x14ac:dyDescent="0.35"/>
    <row r="2" spans="2:22" x14ac:dyDescent="0.3">
      <c r="B2" s="1"/>
      <c r="C2" s="2"/>
      <c r="D2" s="2"/>
      <c r="E2" s="2"/>
      <c r="F2" s="2"/>
      <c r="G2" s="2"/>
      <c r="H2" s="2"/>
      <c r="I2" s="2"/>
      <c r="J2" s="2"/>
      <c r="K2" s="3"/>
      <c r="L2" s="4"/>
      <c r="N2" s="4"/>
      <c r="O2" s="4"/>
      <c r="P2" s="4"/>
      <c r="Q2" s="4"/>
      <c r="R2" s="4"/>
      <c r="S2" s="4"/>
      <c r="T2" s="4"/>
      <c r="U2" s="4"/>
      <c r="V2" s="4"/>
    </row>
    <row r="3" spans="2:22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7"/>
      <c r="L3" s="4"/>
      <c r="N3" s="4"/>
      <c r="O3" s="6"/>
      <c r="P3" s="4"/>
      <c r="Q3" s="4"/>
      <c r="R3" s="4"/>
      <c r="S3" s="4"/>
      <c r="T3" s="4"/>
      <c r="U3" s="4"/>
      <c r="V3" s="4"/>
    </row>
    <row r="4" spans="2:22" x14ac:dyDescent="0.3">
      <c r="B4" s="5"/>
      <c r="C4" s="4"/>
      <c r="D4" s="4"/>
      <c r="E4" s="4"/>
      <c r="F4" s="4"/>
      <c r="G4" s="4"/>
      <c r="H4" s="4"/>
      <c r="I4" s="4"/>
      <c r="J4" s="4"/>
      <c r="K4" s="7"/>
      <c r="L4" s="4"/>
      <c r="N4" s="4"/>
      <c r="O4" s="4"/>
      <c r="P4" s="4"/>
      <c r="Q4" s="4"/>
      <c r="R4" s="4"/>
      <c r="S4" s="4"/>
      <c r="T4" s="4"/>
      <c r="U4" s="4"/>
      <c r="V4" s="4"/>
    </row>
    <row r="5" spans="2:22" ht="18" x14ac:dyDescent="0.35">
      <c r="B5" s="5"/>
      <c r="C5" s="8" t="s">
        <v>175</v>
      </c>
      <c r="D5" s="4"/>
      <c r="E5" s="4"/>
      <c r="F5" s="4"/>
      <c r="G5" s="4"/>
      <c r="H5" s="4"/>
      <c r="I5" s="4"/>
      <c r="J5" s="4"/>
      <c r="K5" s="7"/>
      <c r="L5" s="4"/>
      <c r="N5" s="4"/>
      <c r="O5" s="8"/>
      <c r="P5" s="4"/>
      <c r="Q5" s="4"/>
      <c r="R5" s="4"/>
      <c r="S5" s="4"/>
      <c r="T5" s="4"/>
      <c r="U5" s="4"/>
      <c r="V5" s="4"/>
    </row>
    <row r="6" spans="2:22" ht="27" customHeight="1" x14ac:dyDescent="0.35">
      <c r="B6" s="5"/>
      <c r="C6" s="4" t="s">
        <v>1</v>
      </c>
      <c r="D6" s="4"/>
      <c r="E6" s="4"/>
      <c r="F6" s="4"/>
      <c r="G6" s="4"/>
      <c r="H6" s="4"/>
      <c r="I6" s="4"/>
      <c r="J6" s="4"/>
      <c r="K6" s="7"/>
      <c r="L6" s="4"/>
      <c r="N6" s="4"/>
      <c r="O6" s="8"/>
      <c r="P6" s="4"/>
      <c r="Q6" s="4"/>
      <c r="R6" s="4"/>
      <c r="S6" s="4"/>
      <c r="T6" s="4"/>
      <c r="U6" s="4"/>
      <c r="V6" s="4"/>
    </row>
    <row r="7" spans="2:22" x14ac:dyDescent="0.3">
      <c r="B7" s="5"/>
      <c r="C7" s="9" t="s">
        <v>178</v>
      </c>
      <c r="D7" s="4"/>
      <c r="E7" s="4"/>
      <c r="F7" s="4"/>
      <c r="G7" s="4"/>
      <c r="H7" s="4"/>
      <c r="I7" s="4"/>
      <c r="J7" s="4"/>
      <c r="K7" s="7"/>
      <c r="L7" s="4"/>
      <c r="N7" s="4"/>
      <c r="O7" s="4"/>
      <c r="P7" s="4"/>
      <c r="Q7" s="4"/>
      <c r="R7" s="4"/>
      <c r="S7" s="4"/>
      <c r="T7" s="4"/>
      <c r="U7" s="4"/>
      <c r="V7" s="4"/>
    </row>
    <row r="8" spans="2:22" x14ac:dyDescent="0.3">
      <c r="B8" s="5"/>
      <c r="D8" s="4"/>
      <c r="E8" s="4"/>
      <c r="F8" s="4"/>
      <c r="G8" s="4"/>
      <c r="H8" s="4"/>
      <c r="I8" s="4"/>
      <c r="J8" s="4"/>
      <c r="K8" s="7"/>
      <c r="L8" s="4"/>
      <c r="N8" s="4"/>
      <c r="O8" s="4"/>
      <c r="P8" s="4"/>
      <c r="Q8" s="4"/>
      <c r="R8" s="4"/>
      <c r="S8" s="4"/>
      <c r="T8" s="4"/>
      <c r="U8" s="4"/>
      <c r="V8" s="4"/>
    </row>
    <row r="9" spans="2:22" x14ac:dyDescent="0.3">
      <c r="B9" s="5"/>
      <c r="C9" s="159" t="s">
        <v>179</v>
      </c>
      <c r="D9" s="4"/>
      <c r="E9" s="158"/>
      <c r="F9" s="4"/>
      <c r="G9" s="4"/>
      <c r="H9" s="4"/>
      <c r="I9" s="4"/>
      <c r="J9" s="4"/>
      <c r="K9" s="7"/>
      <c r="L9" s="4"/>
      <c r="N9" s="4"/>
      <c r="O9" s="10"/>
      <c r="P9" s="4"/>
      <c r="Q9" s="4"/>
      <c r="R9" s="4"/>
      <c r="S9" s="4"/>
      <c r="T9" s="4"/>
      <c r="U9" s="4"/>
      <c r="V9" s="4"/>
    </row>
    <row r="10" spans="2:22" x14ac:dyDescent="0.3">
      <c r="B10" s="5"/>
      <c r="C10" s="4"/>
      <c r="D10" s="4"/>
      <c r="E10" s="4"/>
      <c r="F10" s="4"/>
      <c r="G10" s="4"/>
      <c r="H10" s="4"/>
      <c r="I10" s="4"/>
      <c r="J10" s="4"/>
      <c r="K10" s="7"/>
      <c r="L10" s="4"/>
      <c r="N10" s="4"/>
      <c r="O10" s="4"/>
      <c r="P10" s="4"/>
      <c r="Q10" s="4"/>
      <c r="R10" s="4"/>
      <c r="S10" s="4"/>
      <c r="T10" s="4"/>
      <c r="U10" s="4"/>
      <c r="V10" s="4"/>
    </row>
    <row r="11" spans="2:22" ht="15" thickBot="1" x14ac:dyDescent="0.35">
      <c r="B11" s="5"/>
      <c r="C11" s="24" t="s">
        <v>133</v>
      </c>
      <c r="D11" s="24" t="s">
        <v>117</v>
      </c>
      <c r="G11" s="4"/>
      <c r="H11" s="4"/>
      <c r="I11" s="4"/>
      <c r="J11" s="4"/>
      <c r="K11" s="7"/>
      <c r="L11" s="4"/>
      <c r="N11" s="4"/>
      <c r="O11" s="4"/>
      <c r="P11" s="4"/>
      <c r="Q11" s="4"/>
      <c r="R11" s="4"/>
      <c r="S11" s="48"/>
      <c r="T11" s="4"/>
      <c r="U11" s="4"/>
      <c r="V11" s="4"/>
    </row>
    <row r="12" spans="2:22" x14ac:dyDescent="0.3">
      <c r="B12" s="5"/>
      <c r="C12" s="105" t="s">
        <v>79</v>
      </c>
      <c r="D12" s="106" t="s">
        <v>80</v>
      </c>
      <c r="G12" s="4"/>
      <c r="H12" s="4"/>
      <c r="I12" s="4"/>
      <c r="J12" s="4"/>
      <c r="K12" s="7"/>
      <c r="L12" s="4"/>
      <c r="N12" s="4"/>
      <c r="O12" s="4"/>
      <c r="P12" s="4"/>
      <c r="Q12" s="4"/>
      <c r="R12" s="4"/>
      <c r="S12" s="80"/>
      <c r="T12" s="4"/>
      <c r="U12" s="4"/>
      <c r="V12" s="4"/>
    </row>
    <row r="13" spans="2:22" x14ac:dyDescent="0.3">
      <c r="B13" s="5"/>
      <c r="C13" s="107" t="s">
        <v>81</v>
      </c>
      <c r="D13" s="108" t="s">
        <v>82</v>
      </c>
      <c r="G13" s="4"/>
      <c r="H13" s="4"/>
      <c r="I13" s="4"/>
      <c r="J13" s="4"/>
      <c r="K13" s="7"/>
      <c r="L13" s="4"/>
      <c r="N13" s="4"/>
      <c r="O13" s="4"/>
      <c r="P13" s="4"/>
      <c r="Q13" s="4"/>
      <c r="R13" s="4"/>
      <c r="S13" s="80"/>
      <c r="T13" s="81"/>
      <c r="U13" s="4"/>
      <c r="V13" s="4"/>
    </row>
    <row r="14" spans="2:22" x14ac:dyDescent="0.3">
      <c r="B14" s="5"/>
      <c r="C14" s="107" t="s">
        <v>83</v>
      </c>
      <c r="D14" s="108" t="s">
        <v>80</v>
      </c>
      <c r="G14" s="4"/>
      <c r="H14" s="4"/>
      <c r="I14" s="4"/>
      <c r="J14" s="4"/>
      <c r="K14" s="7"/>
      <c r="L14" s="4"/>
      <c r="N14" s="4"/>
      <c r="O14" s="4"/>
      <c r="P14" s="4"/>
      <c r="Q14" s="4"/>
      <c r="R14" s="4"/>
      <c r="S14" s="80"/>
      <c r="T14" s="4"/>
      <c r="U14" s="4"/>
      <c r="V14" s="4"/>
    </row>
    <row r="15" spans="2:22" x14ac:dyDescent="0.3">
      <c r="B15" s="5"/>
      <c r="C15" s="107" t="s">
        <v>84</v>
      </c>
      <c r="D15" s="108" t="s">
        <v>80</v>
      </c>
      <c r="G15" s="4"/>
      <c r="H15" s="4"/>
      <c r="I15" s="4"/>
      <c r="J15" s="4"/>
      <c r="K15" s="7"/>
      <c r="L15" s="4"/>
      <c r="N15" s="4"/>
      <c r="O15" s="4"/>
      <c r="P15" s="4"/>
      <c r="Q15" s="4"/>
      <c r="R15" s="4"/>
      <c r="S15" s="80"/>
      <c r="T15" s="81"/>
      <c r="U15" s="4"/>
      <c r="V15" s="4"/>
    </row>
    <row r="16" spans="2:22" x14ac:dyDescent="0.3">
      <c r="B16" s="5"/>
      <c r="C16" s="107" t="s">
        <v>85</v>
      </c>
      <c r="D16" s="108" t="s">
        <v>82</v>
      </c>
      <c r="G16" s="4"/>
      <c r="H16" s="4"/>
      <c r="I16" s="4"/>
      <c r="J16" s="4"/>
      <c r="K16" s="7"/>
      <c r="L16" s="4"/>
      <c r="N16" s="4"/>
      <c r="O16" s="4"/>
      <c r="P16" s="4"/>
      <c r="Q16" s="4"/>
      <c r="R16" s="4"/>
      <c r="S16" s="4"/>
      <c r="T16" s="4"/>
      <c r="U16" s="4"/>
      <c r="V16" s="4"/>
    </row>
    <row r="17" spans="2:22" x14ac:dyDescent="0.3">
      <c r="B17" s="5"/>
      <c r="C17" s="107" t="s">
        <v>86</v>
      </c>
      <c r="D17" s="108" t="s">
        <v>80</v>
      </c>
      <c r="G17" s="4"/>
      <c r="H17" s="4"/>
      <c r="I17" s="4"/>
      <c r="J17" s="4"/>
      <c r="K17" s="7"/>
      <c r="L17" s="4"/>
      <c r="N17" s="4"/>
      <c r="O17" s="4"/>
      <c r="P17" s="4"/>
      <c r="Q17" s="4"/>
      <c r="R17" s="4"/>
      <c r="S17" s="4"/>
      <c r="T17" s="4"/>
      <c r="U17" s="4"/>
      <c r="V17" s="4"/>
    </row>
    <row r="18" spans="2:22" x14ac:dyDescent="0.3">
      <c r="B18" s="5"/>
      <c r="C18" s="107" t="s">
        <v>88</v>
      </c>
      <c r="D18" s="108" t="s">
        <v>82</v>
      </c>
      <c r="G18" s="4"/>
      <c r="H18" s="4"/>
      <c r="I18" s="4"/>
      <c r="J18" s="4"/>
      <c r="K18" s="7"/>
      <c r="L18" s="4"/>
      <c r="N18" s="4"/>
      <c r="O18" s="4"/>
      <c r="P18" s="4"/>
      <c r="Q18" s="4"/>
      <c r="R18" s="4"/>
      <c r="S18" s="4"/>
      <c r="T18" s="4"/>
      <c r="U18" s="4"/>
      <c r="V18" s="4"/>
    </row>
    <row r="19" spans="2:22" x14ac:dyDescent="0.3">
      <c r="B19" s="5"/>
      <c r="C19" s="107" t="s">
        <v>89</v>
      </c>
      <c r="D19" s="108" t="s">
        <v>82</v>
      </c>
      <c r="G19" s="4"/>
      <c r="H19" s="4"/>
      <c r="I19" s="4"/>
      <c r="J19" s="4"/>
      <c r="K19" s="7"/>
      <c r="L19" s="4"/>
      <c r="N19" s="4"/>
      <c r="O19" s="4"/>
      <c r="P19" s="4"/>
      <c r="Q19" s="4"/>
      <c r="R19" s="4"/>
      <c r="S19" s="4"/>
      <c r="T19" s="4"/>
      <c r="U19" s="4"/>
      <c r="V19" s="4"/>
    </row>
    <row r="20" spans="2:22" x14ac:dyDescent="0.3">
      <c r="B20" s="5"/>
      <c r="C20" s="107" t="s">
        <v>118</v>
      </c>
      <c r="D20" s="108" t="s">
        <v>87</v>
      </c>
      <c r="G20" s="4"/>
      <c r="H20" s="4"/>
      <c r="I20" s="4"/>
      <c r="J20" s="4"/>
      <c r="K20" s="7"/>
      <c r="L20" s="4"/>
      <c r="N20" s="4"/>
      <c r="O20" s="4"/>
      <c r="P20" s="4"/>
      <c r="Q20" s="4"/>
      <c r="R20" s="4"/>
      <c r="S20" s="4"/>
      <c r="T20" s="4"/>
      <c r="U20" s="4"/>
      <c r="V20" s="4"/>
    </row>
    <row r="21" spans="2:22" x14ac:dyDescent="0.3">
      <c r="B21" s="5"/>
      <c r="C21" s="107" t="s">
        <v>119</v>
      </c>
      <c r="D21" s="108" t="s">
        <v>82</v>
      </c>
      <c r="G21" s="4"/>
      <c r="H21" s="4"/>
      <c r="I21" s="4"/>
      <c r="J21" s="4"/>
      <c r="K21" s="7"/>
      <c r="L21" s="4"/>
      <c r="N21" s="4"/>
      <c r="O21" s="4"/>
      <c r="P21" s="4"/>
      <c r="Q21" s="4"/>
      <c r="R21" s="4"/>
      <c r="S21" s="4"/>
      <c r="T21" s="4"/>
      <c r="U21" s="4"/>
      <c r="V21" s="4"/>
    </row>
    <row r="22" spans="2:22" x14ac:dyDescent="0.3">
      <c r="B22" s="5"/>
      <c r="C22" s="107" t="s">
        <v>120</v>
      </c>
      <c r="D22" s="108" t="s">
        <v>82</v>
      </c>
      <c r="G22" s="4"/>
      <c r="H22" s="4"/>
      <c r="I22" s="4"/>
      <c r="J22" s="4"/>
      <c r="K22" s="7"/>
      <c r="L22" s="4"/>
      <c r="N22" s="4"/>
      <c r="O22" s="4"/>
      <c r="P22" s="4"/>
      <c r="Q22" s="4"/>
      <c r="R22" s="4"/>
      <c r="S22" s="4"/>
      <c r="T22" s="4"/>
      <c r="U22" s="4"/>
      <c r="V22" s="4"/>
    </row>
    <row r="23" spans="2:22" x14ac:dyDescent="0.3">
      <c r="B23" s="5"/>
      <c r="C23" s="107" t="s">
        <v>121</v>
      </c>
      <c r="D23" s="108" t="s">
        <v>87</v>
      </c>
      <c r="G23" s="4"/>
      <c r="H23" s="4"/>
      <c r="I23" s="4"/>
      <c r="J23" s="4"/>
      <c r="K23" s="7"/>
      <c r="L23" s="4"/>
      <c r="N23" s="4"/>
      <c r="O23" s="4"/>
      <c r="P23" s="4"/>
      <c r="Q23" s="4"/>
      <c r="R23" s="4"/>
      <c r="S23" s="4"/>
      <c r="T23" s="4"/>
      <c r="U23" s="4"/>
      <c r="V23" s="4"/>
    </row>
    <row r="24" spans="2:22" x14ac:dyDescent="0.3">
      <c r="B24" s="5"/>
      <c r="C24" s="107" t="s">
        <v>122</v>
      </c>
      <c r="D24" s="108" t="s">
        <v>80</v>
      </c>
      <c r="G24" s="4"/>
      <c r="H24" s="4"/>
      <c r="I24" s="4"/>
      <c r="J24" s="4"/>
      <c r="K24" s="7"/>
      <c r="L24" s="4"/>
      <c r="N24" s="4"/>
      <c r="O24" s="4"/>
      <c r="P24" s="4"/>
      <c r="Q24" s="4"/>
      <c r="R24" s="4"/>
      <c r="S24" s="4"/>
      <c r="T24" s="4"/>
      <c r="U24" s="4"/>
      <c r="V24" s="4"/>
    </row>
    <row r="25" spans="2:22" x14ac:dyDescent="0.3">
      <c r="B25" s="5"/>
      <c r="C25" s="107" t="s">
        <v>123</v>
      </c>
      <c r="D25" s="108" t="s">
        <v>87</v>
      </c>
      <c r="G25" s="4"/>
      <c r="H25" s="4"/>
      <c r="I25" s="4"/>
      <c r="J25" s="4"/>
      <c r="K25" s="7"/>
      <c r="L25" s="4"/>
      <c r="N25" s="4"/>
      <c r="O25" s="4"/>
      <c r="P25" s="4"/>
      <c r="Q25" s="4"/>
      <c r="R25" s="4"/>
      <c r="S25" s="4"/>
      <c r="T25" s="4"/>
      <c r="U25" s="4"/>
      <c r="V25" s="4"/>
    </row>
    <row r="26" spans="2:22" x14ac:dyDescent="0.3">
      <c r="B26" s="5"/>
      <c r="C26" s="107" t="s">
        <v>124</v>
      </c>
      <c r="D26" s="108" t="s">
        <v>80</v>
      </c>
      <c r="G26" s="4"/>
      <c r="H26" s="4"/>
      <c r="I26" s="4"/>
      <c r="J26" s="4"/>
      <c r="K26" s="7"/>
      <c r="L26" s="4"/>
      <c r="N26" s="4"/>
      <c r="O26" s="4"/>
      <c r="P26" s="4"/>
      <c r="Q26" s="4"/>
      <c r="R26" s="4"/>
      <c r="S26" s="4"/>
      <c r="T26" s="4"/>
      <c r="U26" s="4"/>
      <c r="V26" s="4"/>
    </row>
    <row r="27" spans="2:22" x14ac:dyDescent="0.3">
      <c r="B27" s="5"/>
      <c r="C27" s="107" t="s">
        <v>125</v>
      </c>
      <c r="D27" s="108" t="s">
        <v>87</v>
      </c>
      <c r="G27" s="4"/>
      <c r="H27" s="4"/>
      <c r="I27" s="4"/>
      <c r="J27" s="4"/>
      <c r="K27" s="7"/>
      <c r="L27" s="4"/>
      <c r="N27" s="4"/>
      <c r="O27" s="4"/>
      <c r="P27" s="4"/>
      <c r="Q27" s="4"/>
      <c r="R27" s="4"/>
      <c r="S27" s="4"/>
      <c r="T27" s="4"/>
      <c r="U27" s="4"/>
      <c r="V27" s="4"/>
    </row>
    <row r="28" spans="2:22" x14ac:dyDescent="0.3">
      <c r="B28" s="5"/>
      <c r="C28" s="107" t="s">
        <v>168</v>
      </c>
      <c r="D28" s="108" t="s">
        <v>80</v>
      </c>
      <c r="E28" s="80"/>
      <c r="G28" s="4"/>
      <c r="H28" s="4"/>
      <c r="I28" s="4"/>
      <c r="J28" s="4"/>
      <c r="K28" s="7"/>
      <c r="L28" s="4"/>
      <c r="N28" s="4"/>
      <c r="O28" s="4"/>
      <c r="P28" s="4"/>
      <c r="Q28" s="4"/>
      <c r="R28" s="4"/>
      <c r="S28" s="4"/>
      <c r="T28" s="4"/>
      <c r="U28" s="4"/>
      <c r="V28" s="4"/>
    </row>
    <row r="29" spans="2:22" ht="15" thickBot="1" x14ac:dyDescent="0.35">
      <c r="B29" s="5"/>
      <c r="C29" s="109" t="s">
        <v>169</v>
      </c>
      <c r="D29" s="110" t="s">
        <v>87</v>
      </c>
      <c r="E29" s="80"/>
      <c r="G29" s="4"/>
      <c r="H29" s="4"/>
      <c r="I29" s="4"/>
      <c r="J29" s="4"/>
      <c r="K29" s="7"/>
      <c r="L29" s="4"/>
      <c r="N29" s="4"/>
      <c r="O29" s="4"/>
      <c r="P29" s="4"/>
      <c r="Q29" s="4"/>
      <c r="R29" s="4"/>
      <c r="S29" s="4"/>
      <c r="T29" s="4"/>
      <c r="U29" s="4"/>
      <c r="V29" s="4"/>
    </row>
    <row r="30" spans="2:22" ht="29.25" customHeight="1" x14ac:dyDescent="0.3">
      <c r="B30" s="5"/>
      <c r="C30" s="133" t="s">
        <v>134</v>
      </c>
      <c r="D30" s="80"/>
      <c r="E30" s="80"/>
      <c r="G30" s="4"/>
      <c r="H30" s="4"/>
      <c r="I30" s="4"/>
      <c r="J30" s="4"/>
      <c r="K30" s="7"/>
      <c r="L30" s="4"/>
      <c r="N30" s="4"/>
      <c r="O30" s="4"/>
      <c r="P30" s="4"/>
      <c r="Q30" s="4"/>
      <c r="R30" s="4"/>
      <c r="S30" s="4"/>
      <c r="T30" s="4"/>
      <c r="U30" s="4"/>
      <c r="V30" s="4"/>
    </row>
    <row r="31" spans="2:22" x14ac:dyDescent="0.3">
      <c r="B31" s="5"/>
      <c r="C31" s="80"/>
      <c r="D31" s="80"/>
      <c r="E31" s="80"/>
      <c r="G31" s="4"/>
      <c r="H31" s="4"/>
      <c r="I31" s="4"/>
      <c r="J31" s="4"/>
      <c r="K31" s="7"/>
      <c r="L31" s="4"/>
      <c r="N31" s="4"/>
      <c r="O31" s="4"/>
      <c r="P31" s="4"/>
      <c r="Q31" s="4"/>
      <c r="R31" s="4"/>
      <c r="S31" s="4"/>
      <c r="T31" s="4"/>
      <c r="U31" s="4"/>
      <c r="V31" s="4"/>
    </row>
    <row r="32" spans="2:22" ht="30" customHeight="1" x14ac:dyDescent="0.3">
      <c r="B32" s="5"/>
      <c r="C32" s="152" t="s">
        <v>111</v>
      </c>
      <c r="D32" s="153" t="s">
        <v>92</v>
      </c>
      <c r="E32" s="154"/>
      <c r="F32" s="155"/>
      <c r="G32" s="153" t="s">
        <v>93</v>
      </c>
      <c r="H32" s="154"/>
      <c r="I32" s="155"/>
      <c r="J32" s="4"/>
      <c r="K32" s="7"/>
      <c r="L32" s="4"/>
      <c r="N32" s="4"/>
      <c r="O32" s="4"/>
      <c r="P32" s="4"/>
      <c r="Q32" s="4"/>
      <c r="R32" s="4"/>
      <c r="S32" s="4"/>
      <c r="T32" s="4"/>
      <c r="U32" s="4"/>
      <c r="V32" s="4"/>
    </row>
    <row r="33" spans="2:26" ht="15" thickBot="1" x14ac:dyDescent="0.35">
      <c r="B33" s="5"/>
      <c r="C33" s="152"/>
      <c r="D33" s="86" t="s">
        <v>112</v>
      </c>
      <c r="E33" s="86" t="s">
        <v>113</v>
      </c>
      <c r="F33" s="86" t="s">
        <v>135</v>
      </c>
      <c r="G33" s="86" t="s">
        <v>114</v>
      </c>
      <c r="H33" s="86" t="s">
        <v>136</v>
      </c>
      <c r="I33" s="86" t="s">
        <v>115</v>
      </c>
      <c r="J33" s="4"/>
      <c r="K33" s="7"/>
      <c r="L33" s="4"/>
      <c r="N33" s="4"/>
      <c r="O33" s="4"/>
      <c r="P33" s="4"/>
      <c r="Q33" s="4"/>
      <c r="R33" s="4"/>
      <c r="S33" s="4"/>
      <c r="T33" s="4"/>
      <c r="U33" s="4"/>
      <c r="V33" s="4"/>
    </row>
    <row r="34" spans="2:26" ht="15" thickBot="1" x14ac:dyDescent="0.35">
      <c r="B34" s="5"/>
      <c r="C34" s="87" t="s">
        <v>116</v>
      </c>
      <c r="D34" s="88">
        <v>4</v>
      </c>
      <c r="E34" s="89">
        <v>0.7</v>
      </c>
      <c r="F34" s="90">
        <v>4</v>
      </c>
      <c r="G34" s="90">
        <v>1</v>
      </c>
      <c r="H34" s="90">
        <v>3</v>
      </c>
      <c r="I34" s="91">
        <v>0.8</v>
      </c>
      <c r="J34" s="4"/>
      <c r="K34" s="7"/>
      <c r="L34" s="4"/>
      <c r="N34" s="4"/>
      <c r="O34" s="4"/>
      <c r="P34" s="4"/>
      <c r="Q34" s="4"/>
      <c r="R34" s="4"/>
      <c r="S34" s="4"/>
      <c r="T34" s="4"/>
      <c r="U34" s="4"/>
      <c r="V34" s="4"/>
    </row>
    <row r="35" spans="2:26" ht="13.5" customHeight="1" x14ac:dyDescent="0.3">
      <c r="B35" s="5"/>
      <c r="C35" s="48"/>
      <c r="D35" s="4"/>
      <c r="E35" s="4"/>
      <c r="F35" s="4"/>
      <c r="G35" s="4"/>
      <c r="K35" s="7"/>
      <c r="L35" s="4"/>
      <c r="N35" s="4"/>
      <c r="O35" s="4"/>
      <c r="P35" s="4"/>
      <c r="Q35" s="4"/>
      <c r="R35" s="4"/>
      <c r="S35" s="4"/>
      <c r="T35" s="4"/>
      <c r="U35" s="4"/>
      <c r="V35" s="4"/>
    </row>
    <row r="36" spans="2:26" ht="13.5" customHeight="1" x14ac:dyDescent="0.3">
      <c r="B36" s="5"/>
      <c r="C36" s="48"/>
      <c r="D36" s="4"/>
      <c r="E36" s="4"/>
      <c r="F36" s="4"/>
      <c r="G36" s="4"/>
      <c r="K36" s="7"/>
      <c r="L36" s="4"/>
      <c r="N36" s="4"/>
      <c r="O36" s="4"/>
      <c r="P36" s="4"/>
      <c r="Q36" s="4"/>
      <c r="R36" s="4"/>
      <c r="S36" s="4"/>
      <c r="T36" s="4"/>
      <c r="U36" s="4"/>
      <c r="V36" s="4"/>
    </row>
    <row r="37" spans="2:26" x14ac:dyDescent="0.3">
      <c r="B37" s="5"/>
      <c r="C37" s="10" t="s">
        <v>90</v>
      </c>
      <c r="D37" s="4"/>
      <c r="E37" s="4"/>
      <c r="F37" s="4"/>
      <c r="G37" s="4"/>
      <c r="K37" s="7"/>
      <c r="L37" s="4"/>
      <c r="N37" s="4"/>
      <c r="O37" s="10"/>
      <c r="P37" s="4"/>
      <c r="Q37" s="4"/>
      <c r="R37" s="4"/>
      <c r="S37" s="4"/>
      <c r="T37" s="4"/>
      <c r="U37" s="4"/>
      <c r="V37" s="4"/>
    </row>
    <row r="38" spans="2:26" ht="15" customHeight="1" x14ac:dyDescent="0.3">
      <c r="B38" s="5"/>
      <c r="C38" s="82"/>
      <c r="K38" s="7"/>
      <c r="L38" s="4"/>
      <c r="N38" s="4"/>
      <c r="O38" s="103"/>
      <c r="P38" s="4"/>
      <c r="Q38" s="4"/>
      <c r="R38" s="4"/>
      <c r="S38" s="4"/>
      <c r="T38" s="4"/>
      <c r="U38" s="4"/>
      <c r="V38" s="4"/>
    </row>
    <row r="39" spans="2:26" ht="15" customHeight="1" x14ac:dyDescent="0.3">
      <c r="B39" s="5"/>
      <c r="C39" s="152" t="s">
        <v>91</v>
      </c>
      <c r="D39" s="152"/>
      <c r="E39" s="152" t="s">
        <v>92</v>
      </c>
      <c r="F39" s="152"/>
      <c r="G39" s="152"/>
      <c r="H39" s="152" t="s">
        <v>93</v>
      </c>
      <c r="I39" s="152"/>
      <c r="J39" s="152"/>
      <c r="K39" s="7"/>
      <c r="N39" s="4"/>
    </row>
    <row r="40" spans="2:26" x14ac:dyDescent="0.3">
      <c r="B40" s="5"/>
      <c r="C40" s="152"/>
      <c r="D40" s="152"/>
      <c r="E40" s="83" t="s">
        <v>94</v>
      </c>
      <c r="F40" s="83" t="s">
        <v>95</v>
      </c>
      <c r="G40" s="83" t="s">
        <v>96</v>
      </c>
      <c r="H40" s="83" t="s">
        <v>97</v>
      </c>
      <c r="I40" s="83" t="s">
        <v>138</v>
      </c>
      <c r="J40" s="83" t="s">
        <v>98</v>
      </c>
      <c r="K40" s="7"/>
      <c r="N40" s="4"/>
    </row>
    <row r="41" spans="2:26" ht="28.8" x14ac:dyDescent="0.3">
      <c r="B41" s="5"/>
      <c r="C41" s="152"/>
      <c r="D41" s="152"/>
      <c r="E41" s="83" t="s">
        <v>99</v>
      </c>
      <c r="F41" s="83" t="s">
        <v>100</v>
      </c>
      <c r="G41" s="83" t="s">
        <v>101</v>
      </c>
      <c r="H41" s="83" t="s">
        <v>102</v>
      </c>
      <c r="I41" s="83" t="s">
        <v>137</v>
      </c>
      <c r="J41" s="83" t="s">
        <v>139</v>
      </c>
      <c r="K41" s="7"/>
      <c r="N41" s="4"/>
    </row>
    <row r="42" spans="2:26" ht="57.6" x14ac:dyDescent="0.3">
      <c r="B42" s="5"/>
      <c r="C42" s="20" t="s">
        <v>78</v>
      </c>
      <c r="D42" s="20" t="s">
        <v>127</v>
      </c>
      <c r="E42" s="83" t="s">
        <v>104</v>
      </c>
      <c r="F42" s="83" t="s">
        <v>105</v>
      </c>
      <c r="G42" s="83" t="s">
        <v>104</v>
      </c>
      <c r="H42" s="83" t="s">
        <v>106</v>
      </c>
      <c r="I42" s="83" t="s">
        <v>104</v>
      </c>
      <c r="J42" s="83" t="s">
        <v>107</v>
      </c>
      <c r="K42" s="7"/>
      <c r="N42" s="4"/>
      <c r="O42" s="85" t="s">
        <v>103</v>
      </c>
      <c r="P42" s="84" t="s">
        <v>108</v>
      </c>
      <c r="Q42" s="85" t="s">
        <v>103</v>
      </c>
      <c r="R42" s="84" t="s">
        <v>109</v>
      </c>
      <c r="S42" s="85" t="s">
        <v>103</v>
      </c>
      <c r="T42" s="84" t="s">
        <v>110</v>
      </c>
      <c r="U42" s="85" t="s">
        <v>78</v>
      </c>
      <c r="V42" s="84" t="s">
        <v>108</v>
      </c>
      <c r="W42" s="85" t="s">
        <v>78</v>
      </c>
      <c r="X42" s="84" t="s">
        <v>108</v>
      </c>
      <c r="Y42" s="85" t="s">
        <v>78</v>
      </c>
      <c r="Z42" s="84" t="s">
        <v>109</v>
      </c>
    </row>
    <row r="43" spans="2:26" x14ac:dyDescent="0.3">
      <c r="B43" s="5"/>
      <c r="C43" s="63" t="str">
        <f t="shared" ref="C43:C60" si="0">IF(D12&gt;0, D12, "-")</f>
        <v>S1</v>
      </c>
      <c r="D43" s="63" t="str">
        <f t="shared" ref="D43:D60" si="1">IF(C12&gt;0, C12, "-")</f>
        <v>A1</v>
      </c>
      <c r="E43" s="83">
        <f>VLOOKUP(D43,$O$43:$P$60,2,FALSE)</f>
        <v>5</v>
      </c>
      <c r="F43" s="104">
        <f>VLOOKUP(D43,$Q$43:$R$60,2,FALSE)</f>
        <v>0.7</v>
      </c>
      <c r="G43" s="83">
        <f>VLOOKUP($D43,$S$43:$T$60,2, FALSE)</f>
        <v>4</v>
      </c>
      <c r="H43" s="83">
        <f>VLOOKUP($C43,$U$43:$V$60,2, FALSE)</f>
        <v>1</v>
      </c>
      <c r="I43" s="83">
        <f>VLOOKUP($C43,$W$43:$X$60,2, FALSE)</f>
        <v>5</v>
      </c>
      <c r="J43" s="104">
        <f>VLOOKUP($C43,$Y$43:$Z$60,2, FALSE)</f>
        <v>0.9</v>
      </c>
      <c r="K43" s="7"/>
      <c r="N43" s="4"/>
      <c r="O43" s="79" t="s">
        <v>79</v>
      </c>
      <c r="P43" s="79">
        <v>5</v>
      </c>
      <c r="Q43" s="79" t="s">
        <v>79</v>
      </c>
      <c r="R43" s="102">
        <v>0.7</v>
      </c>
      <c r="S43" s="79" t="s">
        <v>79</v>
      </c>
      <c r="T43" s="79">
        <v>4</v>
      </c>
      <c r="U43" s="79" t="s">
        <v>80</v>
      </c>
      <c r="V43" s="79">
        <v>1</v>
      </c>
      <c r="W43" s="79" t="s">
        <v>80</v>
      </c>
      <c r="X43" s="79">
        <v>5</v>
      </c>
      <c r="Y43" s="79" t="s">
        <v>80</v>
      </c>
      <c r="Z43" s="79">
        <v>0.9</v>
      </c>
    </row>
    <row r="44" spans="2:26" x14ac:dyDescent="0.3">
      <c r="B44" s="5"/>
      <c r="C44" s="63" t="str">
        <f t="shared" si="0"/>
        <v>S2</v>
      </c>
      <c r="D44" s="63" t="str">
        <f t="shared" si="1"/>
        <v>A2</v>
      </c>
      <c r="E44" s="83">
        <f t="shared" ref="E44:E60" si="2">VLOOKUP(D44,$O$43:$P$60,2,FALSE)</f>
        <v>4</v>
      </c>
      <c r="F44" s="104">
        <f t="shared" ref="F44:F60" si="3">VLOOKUP(D44,$Q$43:$R$60,2,FALSE)</f>
        <v>0.5</v>
      </c>
      <c r="G44" s="83">
        <f t="shared" ref="G44:G60" si="4">VLOOKUP($D44,$S$43:$T$60,2, FALSE)</f>
        <v>1</v>
      </c>
      <c r="H44" s="83">
        <f t="shared" ref="H44:H60" si="5">VLOOKUP($C44,$U$43:$V$60,2, FALSE)</f>
        <v>1</v>
      </c>
      <c r="I44" s="83">
        <f t="shared" ref="I44:I60" si="6">VLOOKUP($C44,$W$43:$X$60,2, FALSE)</f>
        <v>4</v>
      </c>
      <c r="J44" s="104">
        <f t="shared" ref="J44:J60" si="7">VLOOKUP($C44,$Y$43:$Z$60,2, FALSE)</f>
        <v>0.9</v>
      </c>
      <c r="K44" s="7"/>
      <c r="N44" s="4"/>
      <c r="O44" s="79" t="s">
        <v>81</v>
      </c>
      <c r="P44" s="79">
        <v>4</v>
      </c>
      <c r="Q44" s="79" t="s">
        <v>81</v>
      </c>
      <c r="R44" s="102">
        <v>0.5</v>
      </c>
      <c r="S44" s="79" t="s">
        <v>81</v>
      </c>
      <c r="T44" s="79">
        <v>1</v>
      </c>
      <c r="U44" s="79" t="s">
        <v>82</v>
      </c>
      <c r="V44" s="79">
        <v>1</v>
      </c>
      <c r="W44" s="79" t="s">
        <v>82</v>
      </c>
      <c r="X44" s="79">
        <v>4</v>
      </c>
      <c r="Y44" s="79" t="s">
        <v>82</v>
      </c>
      <c r="Z44" s="79">
        <v>0.9</v>
      </c>
    </row>
    <row r="45" spans="2:26" x14ac:dyDescent="0.3">
      <c r="B45" s="5"/>
      <c r="C45" s="63" t="str">
        <f t="shared" si="0"/>
        <v>S1</v>
      </c>
      <c r="D45" s="63" t="str">
        <f t="shared" si="1"/>
        <v>A3</v>
      </c>
      <c r="E45" s="83">
        <f t="shared" si="2"/>
        <v>5</v>
      </c>
      <c r="F45" s="104">
        <f t="shared" si="3"/>
        <v>0.9</v>
      </c>
      <c r="G45" s="83">
        <f t="shared" si="4"/>
        <v>5</v>
      </c>
      <c r="H45" s="83">
        <f t="shared" si="5"/>
        <v>1</v>
      </c>
      <c r="I45" s="83">
        <f t="shared" si="6"/>
        <v>5</v>
      </c>
      <c r="J45" s="104">
        <f t="shared" si="7"/>
        <v>0.9</v>
      </c>
      <c r="K45" s="7"/>
      <c r="N45" s="4"/>
      <c r="O45" s="79" t="s">
        <v>83</v>
      </c>
      <c r="P45" s="79">
        <v>5</v>
      </c>
      <c r="Q45" s="79" t="s">
        <v>83</v>
      </c>
      <c r="R45" s="102">
        <v>0.9</v>
      </c>
      <c r="S45" s="79" t="s">
        <v>83</v>
      </c>
      <c r="T45" s="79">
        <v>5</v>
      </c>
      <c r="U45" s="79" t="s">
        <v>80</v>
      </c>
      <c r="V45" s="79">
        <v>1</v>
      </c>
      <c r="W45" s="79" t="s">
        <v>80</v>
      </c>
      <c r="X45" s="79">
        <v>5</v>
      </c>
      <c r="Y45" s="79" t="s">
        <v>80</v>
      </c>
      <c r="Z45" s="79">
        <v>0.9</v>
      </c>
    </row>
    <row r="46" spans="2:26" x14ac:dyDescent="0.3">
      <c r="B46" s="5"/>
      <c r="C46" s="63" t="str">
        <f t="shared" si="0"/>
        <v>S1</v>
      </c>
      <c r="D46" s="63" t="str">
        <f t="shared" si="1"/>
        <v>A4</v>
      </c>
      <c r="E46" s="83">
        <f t="shared" si="2"/>
        <v>5</v>
      </c>
      <c r="F46" s="104">
        <f t="shared" si="3"/>
        <v>0.9</v>
      </c>
      <c r="G46" s="83">
        <f t="shared" si="4"/>
        <v>5</v>
      </c>
      <c r="H46" s="83">
        <f t="shared" si="5"/>
        <v>1</v>
      </c>
      <c r="I46" s="83">
        <f t="shared" si="6"/>
        <v>5</v>
      </c>
      <c r="J46" s="104">
        <f t="shared" si="7"/>
        <v>0.9</v>
      </c>
      <c r="K46" s="7"/>
      <c r="N46" s="4"/>
      <c r="O46" s="79" t="s">
        <v>84</v>
      </c>
      <c r="P46" s="79">
        <v>5</v>
      </c>
      <c r="Q46" s="79" t="s">
        <v>84</v>
      </c>
      <c r="R46" s="102">
        <v>0.9</v>
      </c>
      <c r="S46" s="79" t="s">
        <v>84</v>
      </c>
      <c r="T46" s="79">
        <v>5</v>
      </c>
      <c r="U46" s="79" t="s">
        <v>80</v>
      </c>
      <c r="V46" s="79">
        <v>1</v>
      </c>
      <c r="W46" s="79" t="s">
        <v>80</v>
      </c>
      <c r="X46" s="79">
        <v>5</v>
      </c>
      <c r="Y46" s="79" t="s">
        <v>80</v>
      </c>
      <c r="Z46" s="79">
        <v>0.9</v>
      </c>
    </row>
    <row r="47" spans="2:26" x14ac:dyDescent="0.3">
      <c r="B47" s="5"/>
      <c r="C47" s="63" t="str">
        <f t="shared" si="0"/>
        <v>S2</v>
      </c>
      <c r="D47" s="63" t="str">
        <f t="shared" si="1"/>
        <v>A5</v>
      </c>
      <c r="E47" s="83">
        <f t="shared" si="2"/>
        <v>3</v>
      </c>
      <c r="F47" s="104">
        <f t="shared" si="3"/>
        <v>0.5</v>
      </c>
      <c r="G47" s="83">
        <f t="shared" si="4"/>
        <v>1</v>
      </c>
      <c r="H47" s="83">
        <f t="shared" si="5"/>
        <v>1</v>
      </c>
      <c r="I47" s="83">
        <f t="shared" si="6"/>
        <v>4</v>
      </c>
      <c r="J47" s="104">
        <f t="shared" si="7"/>
        <v>0.9</v>
      </c>
      <c r="K47" s="7"/>
      <c r="N47" s="4"/>
      <c r="O47" s="79" t="s">
        <v>85</v>
      </c>
      <c r="P47" s="79">
        <v>3</v>
      </c>
      <c r="Q47" s="79" t="s">
        <v>85</v>
      </c>
      <c r="R47" s="102">
        <v>0.5</v>
      </c>
      <c r="S47" s="79" t="s">
        <v>85</v>
      </c>
      <c r="T47" s="79">
        <v>1</v>
      </c>
      <c r="U47" s="79" t="s">
        <v>82</v>
      </c>
      <c r="V47" s="79">
        <v>1</v>
      </c>
      <c r="W47" s="79" t="s">
        <v>82</v>
      </c>
      <c r="X47" s="79">
        <v>4</v>
      </c>
      <c r="Y47" s="79" t="s">
        <v>82</v>
      </c>
      <c r="Z47" s="79">
        <v>0.9</v>
      </c>
    </row>
    <row r="48" spans="2:26" x14ac:dyDescent="0.3">
      <c r="B48" s="5"/>
      <c r="C48" s="63" t="str">
        <f t="shared" si="0"/>
        <v>S1</v>
      </c>
      <c r="D48" s="63" t="str">
        <f t="shared" si="1"/>
        <v>A6</v>
      </c>
      <c r="E48" s="83">
        <f t="shared" si="2"/>
        <v>5</v>
      </c>
      <c r="F48" s="104">
        <f t="shared" si="3"/>
        <v>0.9</v>
      </c>
      <c r="G48" s="83">
        <f t="shared" si="4"/>
        <v>5</v>
      </c>
      <c r="H48" s="83">
        <f t="shared" si="5"/>
        <v>1</v>
      </c>
      <c r="I48" s="83">
        <f t="shared" si="6"/>
        <v>5</v>
      </c>
      <c r="J48" s="104">
        <f t="shared" si="7"/>
        <v>0.9</v>
      </c>
      <c r="K48" s="7"/>
      <c r="N48" s="4"/>
      <c r="O48" s="79" t="s">
        <v>86</v>
      </c>
      <c r="P48" s="79">
        <v>5</v>
      </c>
      <c r="Q48" s="79" t="s">
        <v>86</v>
      </c>
      <c r="R48" s="102">
        <v>0.9</v>
      </c>
      <c r="S48" s="79" t="s">
        <v>86</v>
      </c>
      <c r="T48" s="79">
        <v>5</v>
      </c>
      <c r="U48" s="79" t="s">
        <v>80</v>
      </c>
      <c r="V48" s="79">
        <v>1</v>
      </c>
      <c r="W48" s="79" t="s">
        <v>80</v>
      </c>
      <c r="X48" s="79">
        <v>5</v>
      </c>
      <c r="Y48" s="79" t="s">
        <v>80</v>
      </c>
      <c r="Z48" s="79">
        <v>0.9</v>
      </c>
    </row>
    <row r="49" spans="2:26" x14ac:dyDescent="0.3">
      <c r="B49" s="5"/>
      <c r="C49" s="63" t="str">
        <f t="shared" si="0"/>
        <v>S2</v>
      </c>
      <c r="D49" s="63" t="str">
        <f t="shared" si="1"/>
        <v>A7</v>
      </c>
      <c r="E49" s="83">
        <f t="shared" si="2"/>
        <v>4</v>
      </c>
      <c r="F49" s="104">
        <f t="shared" si="3"/>
        <v>0.1</v>
      </c>
      <c r="G49" s="83">
        <f t="shared" si="4"/>
        <v>1</v>
      </c>
      <c r="H49" s="83">
        <f t="shared" si="5"/>
        <v>1</v>
      </c>
      <c r="I49" s="83">
        <f t="shared" si="6"/>
        <v>4</v>
      </c>
      <c r="J49" s="104">
        <f t="shared" si="7"/>
        <v>0.9</v>
      </c>
      <c r="K49" s="7"/>
      <c r="N49" s="4"/>
      <c r="O49" s="79" t="s">
        <v>88</v>
      </c>
      <c r="P49" s="79">
        <v>4</v>
      </c>
      <c r="Q49" s="79" t="s">
        <v>88</v>
      </c>
      <c r="R49" s="102">
        <v>0.1</v>
      </c>
      <c r="S49" s="79" t="s">
        <v>88</v>
      </c>
      <c r="T49" s="79">
        <v>1</v>
      </c>
      <c r="U49" s="79" t="s">
        <v>82</v>
      </c>
      <c r="V49" s="79">
        <v>1</v>
      </c>
      <c r="W49" s="79" t="s">
        <v>82</v>
      </c>
      <c r="X49" s="79">
        <v>4</v>
      </c>
      <c r="Y49" s="79" t="s">
        <v>82</v>
      </c>
      <c r="Z49" s="79">
        <v>0.9</v>
      </c>
    </row>
    <row r="50" spans="2:26" x14ac:dyDescent="0.3">
      <c r="B50" s="5"/>
      <c r="C50" s="63" t="str">
        <f t="shared" si="0"/>
        <v>S2</v>
      </c>
      <c r="D50" s="63" t="str">
        <f t="shared" si="1"/>
        <v>A8</v>
      </c>
      <c r="E50" s="83">
        <f t="shared" si="2"/>
        <v>5</v>
      </c>
      <c r="F50" s="104">
        <f t="shared" si="3"/>
        <v>0.9</v>
      </c>
      <c r="G50" s="83">
        <f t="shared" si="4"/>
        <v>5</v>
      </c>
      <c r="H50" s="83">
        <f t="shared" si="5"/>
        <v>1</v>
      </c>
      <c r="I50" s="83">
        <f t="shared" si="6"/>
        <v>4</v>
      </c>
      <c r="J50" s="104">
        <f t="shared" si="7"/>
        <v>0.9</v>
      </c>
      <c r="K50" s="7"/>
      <c r="N50" s="4"/>
      <c r="O50" s="79" t="s">
        <v>89</v>
      </c>
      <c r="P50" s="79">
        <v>5</v>
      </c>
      <c r="Q50" s="79" t="s">
        <v>89</v>
      </c>
      <c r="R50" s="102">
        <v>0.9</v>
      </c>
      <c r="S50" s="79" t="s">
        <v>89</v>
      </c>
      <c r="T50" s="79">
        <v>5</v>
      </c>
      <c r="U50" s="79" t="s">
        <v>82</v>
      </c>
      <c r="V50" s="79">
        <v>1</v>
      </c>
      <c r="W50" s="79" t="s">
        <v>82</v>
      </c>
      <c r="X50" s="79">
        <v>4</v>
      </c>
      <c r="Y50" s="79" t="s">
        <v>82</v>
      </c>
      <c r="Z50" s="79">
        <v>0.9</v>
      </c>
    </row>
    <row r="51" spans="2:26" x14ac:dyDescent="0.3">
      <c r="B51" s="5"/>
      <c r="C51" s="63" t="str">
        <f t="shared" si="0"/>
        <v>S3</v>
      </c>
      <c r="D51" s="63" t="str">
        <f t="shared" si="1"/>
        <v>A9</v>
      </c>
      <c r="E51" s="83">
        <f t="shared" si="2"/>
        <v>1</v>
      </c>
      <c r="F51" s="104">
        <f t="shared" si="3"/>
        <v>0.7</v>
      </c>
      <c r="G51" s="83">
        <f t="shared" si="4"/>
        <v>1</v>
      </c>
      <c r="H51" s="83">
        <f t="shared" si="5"/>
        <v>0</v>
      </c>
      <c r="I51" s="83">
        <f t="shared" si="6"/>
        <v>1</v>
      </c>
      <c r="J51" s="104">
        <f t="shared" si="7"/>
        <v>0.2</v>
      </c>
      <c r="K51" s="7"/>
      <c r="N51" s="4"/>
      <c r="O51" s="79" t="s">
        <v>118</v>
      </c>
      <c r="P51" s="79">
        <v>1</v>
      </c>
      <c r="Q51" s="79" t="s">
        <v>118</v>
      </c>
      <c r="R51" s="102">
        <v>0.7</v>
      </c>
      <c r="S51" s="79" t="s">
        <v>118</v>
      </c>
      <c r="T51" s="79">
        <v>1</v>
      </c>
      <c r="U51" s="79" t="s">
        <v>87</v>
      </c>
      <c r="V51" s="79">
        <v>0</v>
      </c>
      <c r="W51" s="79" t="s">
        <v>87</v>
      </c>
      <c r="X51" s="79">
        <v>1</v>
      </c>
      <c r="Y51" s="79" t="s">
        <v>87</v>
      </c>
      <c r="Z51" s="79">
        <v>0.2</v>
      </c>
    </row>
    <row r="52" spans="2:26" x14ac:dyDescent="0.3">
      <c r="B52" s="5"/>
      <c r="C52" s="63" t="str">
        <f t="shared" si="0"/>
        <v>S2</v>
      </c>
      <c r="D52" s="63" t="str">
        <f t="shared" si="1"/>
        <v>A10</v>
      </c>
      <c r="E52" s="83">
        <f t="shared" si="2"/>
        <v>4</v>
      </c>
      <c r="F52" s="104">
        <f t="shared" si="3"/>
        <v>0.9</v>
      </c>
      <c r="G52" s="83">
        <f t="shared" si="4"/>
        <v>5</v>
      </c>
      <c r="H52" s="83">
        <f t="shared" si="5"/>
        <v>1</v>
      </c>
      <c r="I52" s="83">
        <f t="shared" si="6"/>
        <v>4</v>
      </c>
      <c r="J52" s="104">
        <f t="shared" si="7"/>
        <v>0.9</v>
      </c>
      <c r="K52" s="7"/>
      <c r="N52" s="4"/>
      <c r="O52" s="79" t="s">
        <v>119</v>
      </c>
      <c r="P52" s="79">
        <v>4</v>
      </c>
      <c r="Q52" s="79" t="s">
        <v>119</v>
      </c>
      <c r="R52" s="102">
        <v>0.9</v>
      </c>
      <c r="S52" s="79" t="s">
        <v>119</v>
      </c>
      <c r="T52" s="79">
        <v>5</v>
      </c>
      <c r="U52" s="79" t="s">
        <v>82</v>
      </c>
      <c r="V52" s="79">
        <v>1</v>
      </c>
      <c r="W52" s="79" t="s">
        <v>82</v>
      </c>
      <c r="X52" s="79">
        <v>4</v>
      </c>
      <c r="Y52" s="79" t="s">
        <v>82</v>
      </c>
      <c r="Z52" s="79">
        <v>0.9</v>
      </c>
    </row>
    <row r="53" spans="2:26" x14ac:dyDescent="0.3">
      <c r="B53" s="5"/>
      <c r="C53" s="63" t="str">
        <f t="shared" si="0"/>
        <v>S2</v>
      </c>
      <c r="D53" s="63" t="str">
        <f t="shared" si="1"/>
        <v>A11</v>
      </c>
      <c r="E53" s="83">
        <f t="shared" si="2"/>
        <v>5</v>
      </c>
      <c r="F53" s="104">
        <f t="shared" si="3"/>
        <v>0.9</v>
      </c>
      <c r="G53" s="83">
        <f t="shared" si="4"/>
        <v>4</v>
      </c>
      <c r="H53" s="83">
        <f t="shared" si="5"/>
        <v>1</v>
      </c>
      <c r="I53" s="83">
        <f t="shared" si="6"/>
        <v>4</v>
      </c>
      <c r="J53" s="104">
        <f t="shared" si="7"/>
        <v>0.9</v>
      </c>
      <c r="K53" s="7"/>
      <c r="N53" s="4"/>
      <c r="O53" s="79" t="s">
        <v>120</v>
      </c>
      <c r="P53" s="79">
        <v>5</v>
      </c>
      <c r="Q53" s="79" t="s">
        <v>120</v>
      </c>
      <c r="R53" s="102">
        <v>0.9</v>
      </c>
      <c r="S53" s="79" t="s">
        <v>120</v>
      </c>
      <c r="T53" s="79">
        <v>4</v>
      </c>
      <c r="U53" s="79" t="s">
        <v>82</v>
      </c>
      <c r="V53" s="79">
        <v>1</v>
      </c>
      <c r="W53" s="79" t="s">
        <v>82</v>
      </c>
      <c r="X53" s="79">
        <v>4</v>
      </c>
      <c r="Y53" s="79" t="s">
        <v>82</v>
      </c>
      <c r="Z53" s="79">
        <v>0.9</v>
      </c>
    </row>
    <row r="54" spans="2:26" x14ac:dyDescent="0.3">
      <c r="B54" s="5"/>
      <c r="C54" s="63" t="str">
        <f t="shared" si="0"/>
        <v>S3</v>
      </c>
      <c r="D54" s="63" t="str">
        <f t="shared" si="1"/>
        <v>A12</v>
      </c>
      <c r="E54" s="83">
        <f t="shared" si="2"/>
        <v>1</v>
      </c>
      <c r="F54" s="104">
        <f t="shared" si="3"/>
        <v>0.1</v>
      </c>
      <c r="G54" s="83">
        <f t="shared" si="4"/>
        <v>3</v>
      </c>
      <c r="H54" s="83">
        <f t="shared" si="5"/>
        <v>0</v>
      </c>
      <c r="I54" s="83">
        <f t="shared" si="6"/>
        <v>1</v>
      </c>
      <c r="J54" s="104">
        <f t="shared" si="7"/>
        <v>0.2</v>
      </c>
      <c r="K54" s="7"/>
      <c r="N54" s="4"/>
      <c r="O54" s="79" t="s">
        <v>121</v>
      </c>
      <c r="P54" s="79">
        <v>1</v>
      </c>
      <c r="Q54" s="79" t="s">
        <v>121</v>
      </c>
      <c r="R54" s="102">
        <v>0.1</v>
      </c>
      <c r="S54" s="79" t="s">
        <v>121</v>
      </c>
      <c r="T54" s="79">
        <v>3</v>
      </c>
      <c r="U54" s="79" t="s">
        <v>87</v>
      </c>
      <c r="V54" s="79">
        <v>0</v>
      </c>
      <c r="W54" s="79" t="s">
        <v>87</v>
      </c>
      <c r="X54" s="79">
        <v>1</v>
      </c>
      <c r="Y54" s="79" t="s">
        <v>87</v>
      </c>
      <c r="Z54" s="79">
        <v>0.2</v>
      </c>
    </row>
    <row r="55" spans="2:26" x14ac:dyDescent="0.3">
      <c r="B55" s="5"/>
      <c r="C55" s="63" t="str">
        <f t="shared" si="0"/>
        <v>S1</v>
      </c>
      <c r="D55" s="63" t="str">
        <f t="shared" si="1"/>
        <v>A13</v>
      </c>
      <c r="E55" s="83">
        <f t="shared" si="2"/>
        <v>5</v>
      </c>
      <c r="F55" s="104">
        <f t="shared" si="3"/>
        <v>0.9</v>
      </c>
      <c r="G55" s="83">
        <f t="shared" si="4"/>
        <v>5</v>
      </c>
      <c r="H55" s="83">
        <f t="shared" si="5"/>
        <v>1</v>
      </c>
      <c r="I55" s="83">
        <f t="shared" si="6"/>
        <v>5</v>
      </c>
      <c r="J55" s="104">
        <f t="shared" si="7"/>
        <v>0.9</v>
      </c>
      <c r="K55" s="7"/>
      <c r="N55" s="4"/>
      <c r="O55" s="79" t="s">
        <v>122</v>
      </c>
      <c r="P55" s="79">
        <v>5</v>
      </c>
      <c r="Q55" s="79" t="s">
        <v>122</v>
      </c>
      <c r="R55" s="102">
        <v>0.9</v>
      </c>
      <c r="S55" s="79" t="s">
        <v>122</v>
      </c>
      <c r="T55" s="79">
        <v>5</v>
      </c>
      <c r="U55" s="79" t="s">
        <v>80</v>
      </c>
      <c r="V55" s="79">
        <v>1</v>
      </c>
      <c r="W55" s="79" t="s">
        <v>80</v>
      </c>
      <c r="X55" s="79">
        <v>5</v>
      </c>
      <c r="Y55" s="79" t="s">
        <v>80</v>
      </c>
      <c r="Z55" s="79">
        <v>0.9</v>
      </c>
    </row>
    <row r="56" spans="2:26" x14ac:dyDescent="0.3">
      <c r="B56" s="5"/>
      <c r="C56" s="63" t="str">
        <f t="shared" si="0"/>
        <v>S3</v>
      </c>
      <c r="D56" s="63" t="str">
        <f t="shared" si="1"/>
        <v>A14</v>
      </c>
      <c r="E56" s="83">
        <f t="shared" si="2"/>
        <v>1</v>
      </c>
      <c r="F56" s="104">
        <f t="shared" si="3"/>
        <v>0.1</v>
      </c>
      <c r="G56" s="83">
        <f t="shared" si="4"/>
        <v>2</v>
      </c>
      <c r="H56" s="83">
        <f t="shared" si="5"/>
        <v>0</v>
      </c>
      <c r="I56" s="83">
        <f t="shared" si="6"/>
        <v>1</v>
      </c>
      <c r="J56" s="104">
        <f t="shared" si="7"/>
        <v>0.2</v>
      </c>
      <c r="K56" s="7"/>
      <c r="N56" s="4"/>
      <c r="O56" s="79" t="s">
        <v>123</v>
      </c>
      <c r="P56" s="79">
        <v>1</v>
      </c>
      <c r="Q56" s="79" t="s">
        <v>123</v>
      </c>
      <c r="R56" s="102">
        <v>0.1</v>
      </c>
      <c r="S56" s="79" t="s">
        <v>123</v>
      </c>
      <c r="T56" s="79">
        <v>2</v>
      </c>
      <c r="U56" s="79" t="s">
        <v>87</v>
      </c>
      <c r="V56" s="79">
        <v>0</v>
      </c>
      <c r="W56" s="79" t="s">
        <v>87</v>
      </c>
      <c r="X56" s="79">
        <v>1</v>
      </c>
      <c r="Y56" s="79" t="s">
        <v>87</v>
      </c>
      <c r="Z56" s="79">
        <v>0.2</v>
      </c>
    </row>
    <row r="57" spans="2:26" x14ac:dyDescent="0.3">
      <c r="B57" s="5"/>
      <c r="C57" s="63" t="str">
        <f t="shared" si="0"/>
        <v>S1</v>
      </c>
      <c r="D57" s="63" t="str">
        <f t="shared" si="1"/>
        <v>A15</v>
      </c>
      <c r="E57" s="83">
        <f t="shared" si="2"/>
        <v>5</v>
      </c>
      <c r="F57" s="104">
        <f t="shared" si="3"/>
        <v>0.9</v>
      </c>
      <c r="G57" s="83">
        <f t="shared" si="4"/>
        <v>5</v>
      </c>
      <c r="H57" s="83">
        <f t="shared" si="5"/>
        <v>1</v>
      </c>
      <c r="I57" s="83">
        <f t="shared" si="6"/>
        <v>5</v>
      </c>
      <c r="J57" s="104">
        <f t="shared" si="7"/>
        <v>0.9</v>
      </c>
      <c r="K57" s="7"/>
      <c r="N57" s="4"/>
      <c r="O57" s="79" t="s">
        <v>124</v>
      </c>
      <c r="P57" s="79">
        <v>5</v>
      </c>
      <c r="Q57" s="79" t="s">
        <v>124</v>
      </c>
      <c r="R57" s="102">
        <v>0.9</v>
      </c>
      <c r="S57" s="79" t="s">
        <v>124</v>
      </c>
      <c r="T57" s="79">
        <v>5</v>
      </c>
      <c r="U57" s="79" t="s">
        <v>80</v>
      </c>
      <c r="V57" s="79">
        <v>1</v>
      </c>
      <c r="W57" s="79" t="s">
        <v>80</v>
      </c>
      <c r="X57" s="79">
        <v>5</v>
      </c>
      <c r="Y57" s="79" t="s">
        <v>80</v>
      </c>
      <c r="Z57" s="79">
        <v>0.9</v>
      </c>
    </row>
    <row r="58" spans="2:26" x14ac:dyDescent="0.3">
      <c r="B58" s="5"/>
      <c r="C58" s="63" t="str">
        <f t="shared" si="0"/>
        <v>S3</v>
      </c>
      <c r="D58" s="63" t="str">
        <f t="shared" si="1"/>
        <v>A16</v>
      </c>
      <c r="E58" s="83">
        <f t="shared" si="2"/>
        <v>2</v>
      </c>
      <c r="F58" s="104">
        <f t="shared" si="3"/>
        <v>0.3</v>
      </c>
      <c r="G58" s="83">
        <f t="shared" si="4"/>
        <v>3</v>
      </c>
      <c r="H58" s="83">
        <f t="shared" si="5"/>
        <v>0</v>
      </c>
      <c r="I58" s="83">
        <f t="shared" si="6"/>
        <v>1</v>
      </c>
      <c r="J58" s="104">
        <f t="shared" si="7"/>
        <v>0.2</v>
      </c>
      <c r="K58" s="7"/>
      <c r="N58" s="4"/>
      <c r="O58" s="79" t="s">
        <v>125</v>
      </c>
      <c r="P58" s="79">
        <v>2</v>
      </c>
      <c r="Q58" s="79" t="s">
        <v>125</v>
      </c>
      <c r="R58" s="102">
        <v>0.3</v>
      </c>
      <c r="S58" s="79" t="s">
        <v>125</v>
      </c>
      <c r="T58" s="79">
        <v>3</v>
      </c>
      <c r="U58" s="79" t="s">
        <v>87</v>
      </c>
      <c r="V58" s="79">
        <v>0</v>
      </c>
      <c r="W58" s="79" t="s">
        <v>87</v>
      </c>
      <c r="X58" s="79">
        <v>1</v>
      </c>
      <c r="Y58" s="79" t="s">
        <v>87</v>
      </c>
      <c r="Z58" s="79">
        <v>0.2</v>
      </c>
    </row>
    <row r="59" spans="2:26" x14ac:dyDescent="0.3">
      <c r="B59" s="5"/>
      <c r="C59" s="63" t="str">
        <f t="shared" si="0"/>
        <v>S1</v>
      </c>
      <c r="D59" s="63" t="str">
        <f t="shared" si="1"/>
        <v>A17</v>
      </c>
      <c r="E59" s="83">
        <f>VLOOKUP(D59,$O$43:$P$60,2,FALSE)</f>
        <v>4</v>
      </c>
      <c r="F59" s="104">
        <f t="shared" si="3"/>
        <v>0.8</v>
      </c>
      <c r="G59" s="83">
        <f t="shared" si="4"/>
        <v>5</v>
      </c>
      <c r="H59" s="83">
        <f t="shared" si="5"/>
        <v>1</v>
      </c>
      <c r="I59" s="83">
        <f t="shared" si="6"/>
        <v>5</v>
      </c>
      <c r="J59" s="104">
        <f t="shared" si="7"/>
        <v>0.9</v>
      </c>
      <c r="K59" s="7"/>
      <c r="L59" s="4"/>
      <c r="N59" s="4"/>
      <c r="O59" s="79" t="s">
        <v>168</v>
      </c>
      <c r="P59" s="131">
        <v>4</v>
      </c>
      <c r="Q59" s="79" t="s">
        <v>168</v>
      </c>
      <c r="R59" s="132">
        <v>0.8</v>
      </c>
      <c r="S59" s="79" t="s">
        <v>168</v>
      </c>
      <c r="T59" s="131">
        <v>5</v>
      </c>
      <c r="U59" s="131" t="s">
        <v>80</v>
      </c>
      <c r="V59" s="131">
        <v>1</v>
      </c>
      <c r="W59" s="131" t="s">
        <v>80</v>
      </c>
      <c r="X59" s="131">
        <v>5</v>
      </c>
      <c r="Y59" s="131" t="s">
        <v>80</v>
      </c>
      <c r="Z59" s="131">
        <v>0.9</v>
      </c>
    </row>
    <row r="60" spans="2:26" x14ac:dyDescent="0.3">
      <c r="B60" s="5"/>
      <c r="C60" s="63" t="str">
        <f t="shared" si="0"/>
        <v>S3</v>
      </c>
      <c r="D60" s="63" t="str">
        <f t="shared" si="1"/>
        <v>A18</v>
      </c>
      <c r="E60" s="83">
        <f t="shared" si="2"/>
        <v>1</v>
      </c>
      <c r="F60" s="104">
        <f t="shared" si="3"/>
        <v>0.4</v>
      </c>
      <c r="G60" s="83">
        <f t="shared" si="4"/>
        <v>3</v>
      </c>
      <c r="H60" s="83">
        <f t="shared" si="5"/>
        <v>0</v>
      </c>
      <c r="I60" s="83">
        <f t="shared" si="6"/>
        <v>1</v>
      </c>
      <c r="J60" s="104">
        <f t="shared" si="7"/>
        <v>0.2</v>
      </c>
      <c r="K60" s="7"/>
      <c r="L60" s="4"/>
      <c r="N60" s="4"/>
      <c r="O60" s="79" t="s">
        <v>169</v>
      </c>
      <c r="P60" s="131">
        <v>1</v>
      </c>
      <c r="Q60" s="79" t="s">
        <v>169</v>
      </c>
      <c r="R60" s="132">
        <v>0.4</v>
      </c>
      <c r="S60" s="79" t="s">
        <v>169</v>
      </c>
      <c r="T60" s="131">
        <v>3</v>
      </c>
      <c r="U60" s="131" t="s">
        <v>87</v>
      </c>
      <c r="V60" s="131">
        <v>0</v>
      </c>
      <c r="W60" s="131" t="s">
        <v>87</v>
      </c>
      <c r="X60" s="131">
        <v>1</v>
      </c>
      <c r="Y60" s="131" t="s">
        <v>87</v>
      </c>
      <c r="Z60" s="131">
        <v>0.2</v>
      </c>
    </row>
    <row r="61" spans="2:26" x14ac:dyDescent="0.3">
      <c r="B61" s="5"/>
      <c r="C61" s="10"/>
      <c r="D61" s="4"/>
      <c r="E61" s="4"/>
      <c r="K61" s="7"/>
      <c r="L61" s="4"/>
      <c r="N61" s="4"/>
    </row>
    <row r="62" spans="2:26" ht="39" customHeight="1" x14ac:dyDescent="0.3">
      <c r="B62" s="5"/>
      <c r="C62" s="4"/>
      <c r="D62" s="4"/>
      <c r="E62" s="4"/>
      <c r="K62" s="7"/>
      <c r="L62" s="4"/>
      <c r="N62" s="4"/>
    </row>
    <row r="63" spans="2:26" ht="15" thickBot="1" x14ac:dyDescent="0.35">
      <c r="B63" s="35"/>
      <c r="C63" s="36"/>
      <c r="D63" s="36"/>
      <c r="E63" s="36"/>
      <c r="F63" s="36"/>
      <c r="G63" s="36"/>
      <c r="H63" s="36"/>
      <c r="I63" s="36"/>
      <c r="J63" s="36"/>
      <c r="K63" s="37"/>
      <c r="L63" s="4"/>
      <c r="N63" s="4"/>
    </row>
  </sheetData>
  <mergeCells count="6">
    <mergeCell ref="C32:C33"/>
    <mergeCell ref="D32:F32"/>
    <mergeCell ref="G32:I32"/>
    <mergeCell ref="C39:D41"/>
    <mergeCell ref="E39:G39"/>
    <mergeCell ref="H39:J39"/>
  </mergeCells>
  <dataValidations count="6">
    <dataValidation type="list" allowBlank="1" showInputMessage="1" showErrorMessage="1" sqref="E34 I34" xr:uid="{00000000-0002-0000-0200-000000000000}">
      <formula1>"0%, 10%, 20%, 30%, 40%, 50%, 60%, 70%, 80%, 90%, 100%"</formula1>
    </dataValidation>
    <dataValidation type="list" allowBlank="1" showInputMessage="1" showErrorMessage="1" sqref="H34 F34 D34" xr:uid="{00000000-0002-0000-0200-000001000000}">
      <formula1>"1,2,3,4,5"</formula1>
    </dataValidation>
    <dataValidation type="list" allowBlank="1" showInputMessage="1" showErrorMessage="1" sqref="G34" xr:uid="{00000000-0002-0000-0200-000002000000}">
      <formula1>"0,1"</formula1>
    </dataValidation>
    <dataValidation type="list" allowBlank="1" showInputMessage="1" showErrorMessage="1" sqref="C12" xr:uid="{00000000-0002-0000-0200-000003000000}">
      <formula1>"A1, A2, A3, A4, A5, A6, A7, A8, A9, A10, A11, A12, A13, A14, A15, A16"</formula1>
    </dataValidation>
    <dataValidation type="list" allowBlank="1" showInputMessage="1" showErrorMessage="1" sqref="D12:D29" xr:uid="{00000000-0002-0000-0200-000004000000}">
      <formula1>"S1, S2, S3"</formula1>
    </dataValidation>
    <dataValidation type="list" allowBlank="1" showInputMessage="1" showErrorMessage="1" sqref="C13:C29" xr:uid="{00000000-0002-0000-0200-000005000000}">
      <formula1>"A1, A2, A3, A4, A5, A6, A7, A8, A9, A10, A11, A12, A13, A14, A15, A16, A17, A18"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5_Click">
                <anchor moveWithCells="1" sizeWithCells="1">
                  <from>
                    <xdr:col>8</xdr:col>
                    <xdr:colOff>693420</xdr:colOff>
                    <xdr:row>61</xdr:row>
                    <xdr:rowOff>22860</xdr:rowOff>
                  </from>
                  <to>
                    <xdr:col>9</xdr:col>
                    <xdr:colOff>1508760</xdr:colOff>
                    <xdr:row>62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6000000}">
          <x14:formula1>
            <xm:f>'C:\Users\kijung\Desktop\Kijung\Cool_Slice\[Coolslice_Sustainable Product Architecture &amp; Supplier Selection (S-PASS)_Drone_2.xlsm]Phase1_Output'!#REF!</xm:f>
          </x14:formula1>
          <xm:sqref>O22:O26 Q20:R20 O20 Q22:R26 O27:Q36 C31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I49"/>
  <sheetViews>
    <sheetView showGridLines="0" showRowColHeaders="0" zoomScaleNormal="100" workbookViewId="0">
      <selection activeCell="E1" sqref="E1"/>
    </sheetView>
  </sheetViews>
  <sheetFormatPr defaultRowHeight="14.4" x14ac:dyDescent="0.3"/>
  <cols>
    <col min="2" max="2" width="4.88671875" customWidth="1"/>
    <col min="3" max="3" width="18.88671875" customWidth="1"/>
    <col min="4" max="6" width="23.109375" customWidth="1"/>
    <col min="7" max="7" width="23.109375" style="93" customWidth="1"/>
    <col min="8" max="9" width="5.88671875" customWidth="1"/>
  </cols>
  <sheetData>
    <row r="1" spans="2:9" ht="15" thickBot="1" x14ac:dyDescent="0.35"/>
    <row r="2" spans="2:9" x14ac:dyDescent="0.3">
      <c r="B2" s="1"/>
      <c r="C2" s="2"/>
      <c r="D2" s="2"/>
      <c r="E2" s="2"/>
      <c r="F2" s="2"/>
      <c r="G2" s="94"/>
      <c r="H2" s="3"/>
      <c r="I2" s="4"/>
    </row>
    <row r="3" spans="2:9" ht="21" x14ac:dyDescent="0.4">
      <c r="B3" s="5"/>
      <c r="C3" s="6" t="s">
        <v>0</v>
      </c>
      <c r="D3" s="4"/>
      <c r="E3" s="4"/>
      <c r="F3" s="4"/>
      <c r="G3" s="81"/>
      <c r="H3" s="7"/>
      <c r="I3" s="4"/>
    </row>
    <row r="4" spans="2:9" x14ac:dyDescent="0.3">
      <c r="B4" s="5"/>
      <c r="C4" s="4"/>
      <c r="D4" s="4"/>
      <c r="E4" s="4"/>
      <c r="F4" s="4"/>
      <c r="G4" s="81"/>
      <c r="H4" s="7"/>
      <c r="I4" s="4"/>
    </row>
    <row r="5" spans="2:9" ht="18" x14ac:dyDescent="0.35">
      <c r="B5" s="5"/>
      <c r="C5" s="8" t="s">
        <v>128</v>
      </c>
      <c r="D5" s="4"/>
      <c r="E5" s="4"/>
      <c r="F5" s="4"/>
      <c r="G5" s="81"/>
      <c r="H5" s="7"/>
      <c r="I5" s="4"/>
    </row>
    <row r="6" spans="2:9" ht="7.5" customHeight="1" x14ac:dyDescent="0.35">
      <c r="B6" s="5"/>
      <c r="C6" s="8"/>
      <c r="D6" s="4"/>
      <c r="E6" s="4"/>
      <c r="F6" s="4"/>
      <c r="G6" s="81"/>
      <c r="H6" s="7"/>
      <c r="I6" s="4"/>
    </row>
    <row r="7" spans="2:9" x14ac:dyDescent="0.3">
      <c r="B7" s="5"/>
      <c r="C7" s="4"/>
      <c r="D7" s="4"/>
      <c r="E7" s="4"/>
      <c r="F7" s="4"/>
      <c r="G7" s="81"/>
      <c r="H7" s="7"/>
      <c r="I7" s="4"/>
    </row>
    <row r="8" spans="2:9" x14ac:dyDescent="0.3">
      <c r="B8" s="5"/>
      <c r="C8" s="10" t="s">
        <v>129</v>
      </c>
      <c r="D8" s="4"/>
      <c r="E8" s="4"/>
      <c r="F8" s="4"/>
      <c r="G8" s="81"/>
      <c r="H8" s="7"/>
      <c r="I8" s="4"/>
    </row>
    <row r="9" spans="2:9" x14ac:dyDescent="0.3">
      <c r="B9" s="5"/>
      <c r="D9" s="4"/>
      <c r="E9" s="4"/>
      <c r="F9" s="4"/>
      <c r="G9" s="81"/>
      <c r="H9" s="7"/>
      <c r="I9" s="4"/>
    </row>
    <row r="10" spans="2:9" x14ac:dyDescent="0.3">
      <c r="B10" s="5"/>
      <c r="C10" s="20" t="s">
        <v>140</v>
      </c>
      <c r="D10" s="83" t="s">
        <v>78</v>
      </c>
      <c r="E10" s="63" t="s">
        <v>130</v>
      </c>
      <c r="F10" s="63" t="s">
        <v>131</v>
      </c>
      <c r="G10" s="80"/>
      <c r="H10" s="7"/>
      <c r="I10" s="4"/>
    </row>
    <row r="11" spans="2:9" x14ac:dyDescent="0.3">
      <c r="B11" s="5"/>
      <c r="C11" s="63" t="str">
        <f>Phase2_Input!D43</f>
        <v>A1</v>
      </c>
      <c r="D11" s="63" t="str">
        <f>Phase2_Input!C43</f>
        <v>S1</v>
      </c>
      <c r="E11" s="95" t="str">
        <f>IF(C11="-","-",IF(Phase2_Input!E43&gt;=Phase2_Input!$D$34,(IF(Phase2_Input!F43&gt;=Phase2_Input!$E$34,(IF(Phase2_Input!G43&gt;=Phase2_Input!$F$34,"Accepted","Rejected")),"Rejected")),"Rejected"))</f>
        <v>Accepted</v>
      </c>
      <c r="F11" s="95" t="str">
        <f>IF(C11="-","-",IF(Phase2_Input!H43&gt;=Phase2_Input!$G$34,(IF(Phase2_Input!I43&gt;=Phase2_Input!$H$34,(IF(Phase2_Input!J43&gt;=Phase2_Input!$I$34,"Accepted","Rejected")),"Rejected")),"Rejected"))</f>
        <v>Accepted</v>
      </c>
      <c r="H11" s="7"/>
      <c r="I11" s="4"/>
    </row>
    <row r="12" spans="2:9" x14ac:dyDescent="0.3">
      <c r="B12" s="5"/>
      <c r="C12" s="63" t="str">
        <f>Phase2_Input!D44</f>
        <v>A2</v>
      </c>
      <c r="D12" s="63" t="str">
        <f>Phase2_Input!C44</f>
        <v>S2</v>
      </c>
      <c r="E12" s="95" t="str">
        <f>IF(C12="-","-",IF(Phase2_Input!E44&gt;=Phase2_Input!$D$34,(IF(Phase2_Input!F44&gt;=Phase2_Input!$E$34,(IF(Phase2_Input!G44&gt;=Phase2_Input!$F$34,"Accepted","Rejected")),"Rejected")),"Rejected"))</f>
        <v>Rejected</v>
      </c>
      <c r="F12" s="95" t="str">
        <f>IF(C12="-","-",IF(Phase2_Input!H44&gt;=Phase2_Input!$G$34,(IF(Phase2_Input!I44&gt;=Phase2_Input!$H$34,(IF(Phase2_Input!J44&gt;=Phase2_Input!$I$34,"Accepted","Rejected")),"Rejected")),"Rejected"))</f>
        <v>Accepted</v>
      </c>
      <c r="H12" s="7"/>
      <c r="I12" s="4"/>
    </row>
    <row r="13" spans="2:9" x14ac:dyDescent="0.3">
      <c r="B13" s="5"/>
      <c r="C13" s="63" t="str">
        <f>Phase2_Input!D45</f>
        <v>A3</v>
      </c>
      <c r="D13" s="63" t="str">
        <f>Phase2_Input!C45</f>
        <v>S1</v>
      </c>
      <c r="E13" s="95" t="str">
        <f>IF(C13="-","-",IF(Phase2_Input!E45&gt;=Phase2_Input!$D$34,(IF(Phase2_Input!F45&gt;=Phase2_Input!$E$34,(IF(Phase2_Input!G45&gt;=Phase2_Input!$F$34,"Accepted","Rejected")),"Rejected")),"Rejected"))</f>
        <v>Accepted</v>
      </c>
      <c r="F13" s="95" t="str">
        <f>IF(C13="-","-",IF(Phase2_Input!H45&gt;=Phase2_Input!$G$34,(IF(Phase2_Input!I45&gt;=Phase2_Input!$H$34,(IF(Phase2_Input!J45&gt;=Phase2_Input!$I$34,"Accepted","Rejected")),"Rejected")),"Rejected"))</f>
        <v>Accepted</v>
      </c>
      <c r="H13" s="7"/>
      <c r="I13" s="4"/>
    </row>
    <row r="14" spans="2:9" x14ac:dyDescent="0.3">
      <c r="B14" s="5"/>
      <c r="C14" s="63" t="str">
        <f>Phase2_Input!D46</f>
        <v>A4</v>
      </c>
      <c r="D14" s="63" t="str">
        <f>Phase2_Input!C46</f>
        <v>S1</v>
      </c>
      <c r="E14" s="95" t="str">
        <f>IF(C14="-","-",IF(Phase2_Input!E46&gt;=Phase2_Input!$D$34,(IF(Phase2_Input!F46&gt;=Phase2_Input!$E$34,(IF(Phase2_Input!G46&gt;=Phase2_Input!$F$34,"Accepted","Rejected")),"Rejected")),"Rejected"))</f>
        <v>Accepted</v>
      </c>
      <c r="F14" s="95" t="str">
        <f>IF(C14="-","-",IF(Phase2_Input!H46&gt;=Phase2_Input!$G$34,(IF(Phase2_Input!I46&gt;=Phase2_Input!$H$34,(IF(Phase2_Input!J46&gt;=Phase2_Input!$I$34,"Accepted","Rejected")),"Rejected")),"Rejected"))</f>
        <v>Accepted</v>
      </c>
      <c r="H14" s="7"/>
      <c r="I14" s="4"/>
    </row>
    <row r="15" spans="2:9" x14ac:dyDescent="0.3">
      <c r="B15" s="5"/>
      <c r="C15" s="63" t="str">
        <f>Phase2_Input!D47</f>
        <v>A5</v>
      </c>
      <c r="D15" s="63" t="str">
        <f>Phase2_Input!C47</f>
        <v>S2</v>
      </c>
      <c r="E15" s="95" t="str">
        <f>IF(C15="-","-",IF(Phase2_Input!E47&gt;=Phase2_Input!$D$34,(IF(Phase2_Input!F47&gt;=Phase2_Input!$E$34,(IF(Phase2_Input!G47&gt;=Phase2_Input!$F$34,"Accepted","Rejected")),"Rejected")),"Rejected"))</f>
        <v>Rejected</v>
      </c>
      <c r="F15" s="95" t="str">
        <f>IF(C15="-","-",IF(Phase2_Input!H47&gt;=Phase2_Input!$G$34,(IF(Phase2_Input!I47&gt;=Phase2_Input!$H$34,(IF(Phase2_Input!J47&gt;=Phase2_Input!$I$34,"Accepted","Rejected")),"Rejected")),"Rejected"))</f>
        <v>Accepted</v>
      </c>
      <c r="H15" s="7"/>
      <c r="I15" s="4"/>
    </row>
    <row r="16" spans="2:9" x14ac:dyDescent="0.3">
      <c r="B16" s="5"/>
      <c r="C16" s="63" t="str">
        <f>Phase2_Input!D48</f>
        <v>A6</v>
      </c>
      <c r="D16" s="63" t="str">
        <f>Phase2_Input!C48</f>
        <v>S1</v>
      </c>
      <c r="E16" s="95" t="str">
        <f>IF(C16="-","-",IF(Phase2_Input!E48&gt;=Phase2_Input!$D$34,(IF(Phase2_Input!F48&gt;=Phase2_Input!$E$34,(IF(Phase2_Input!G48&gt;=Phase2_Input!$F$34,"Accepted","Rejected")),"Rejected")),"Rejected"))</f>
        <v>Accepted</v>
      </c>
      <c r="F16" s="95" t="str">
        <f>IF(C16="-","-",IF(Phase2_Input!H48&gt;=Phase2_Input!$G$34,(IF(Phase2_Input!I48&gt;=Phase2_Input!$H$34,(IF(Phase2_Input!J48&gt;=Phase2_Input!$I$34,"Accepted","Rejected")),"Rejected")),"Rejected"))</f>
        <v>Accepted</v>
      </c>
      <c r="H16" s="7"/>
      <c r="I16" s="4"/>
    </row>
    <row r="17" spans="2:9" x14ac:dyDescent="0.3">
      <c r="B17" s="5"/>
      <c r="C17" s="63" t="str">
        <f>Phase2_Input!D49</f>
        <v>A7</v>
      </c>
      <c r="D17" s="63" t="str">
        <f>Phase2_Input!C49</f>
        <v>S2</v>
      </c>
      <c r="E17" s="95" t="str">
        <f>IF(C17="-","-",IF(Phase2_Input!E49&gt;=Phase2_Input!$D$34,(IF(Phase2_Input!F49&gt;=Phase2_Input!$E$34,(IF(Phase2_Input!G49&gt;=Phase2_Input!$F$34,"Accepted","Rejected")),"Rejected")),"Rejected"))</f>
        <v>Rejected</v>
      </c>
      <c r="F17" s="95" t="str">
        <f>IF(C17="-","-",IF(Phase2_Input!H49&gt;=Phase2_Input!$G$34,(IF(Phase2_Input!I49&gt;=Phase2_Input!$H$34,(IF(Phase2_Input!J49&gt;=Phase2_Input!$I$34,"Accepted","Rejected")),"Rejected")),"Rejected"))</f>
        <v>Accepted</v>
      </c>
      <c r="H17" s="7"/>
      <c r="I17" s="4"/>
    </row>
    <row r="18" spans="2:9" x14ac:dyDescent="0.3">
      <c r="B18" s="5"/>
      <c r="C18" s="63" t="str">
        <f>Phase2_Input!D50</f>
        <v>A8</v>
      </c>
      <c r="D18" s="63" t="str">
        <f>Phase2_Input!C50</f>
        <v>S2</v>
      </c>
      <c r="E18" s="95" t="str">
        <f>IF(C18="-","-",IF(Phase2_Input!E50&gt;=Phase2_Input!$D$34,(IF(Phase2_Input!F50&gt;=Phase2_Input!$E$34,(IF(Phase2_Input!G50&gt;=Phase2_Input!$F$34,"Accepted","Rejected")),"Rejected")),"Rejected"))</f>
        <v>Accepted</v>
      </c>
      <c r="F18" s="95" t="str">
        <f>IF(C18="-","-",IF(Phase2_Input!H50&gt;=Phase2_Input!$G$34,(IF(Phase2_Input!I50&gt;=Phase2_Input!$H$34,(IF(Phase2_Input!J50&gt;=Phase2_Input!$I$34,"Accepted","Rejected")),"Rejected")),"Rejected"))</f>
        <v>Accepted</v>
      </c>
      <c r="H18" s="7"/>
      <c r="I18" s="4"/>
    </row>
    <row r="19" spans="2:9" x14ac:dyDescent="0.3">
      <c r="B19" s="5"/>
      <c r="C19" s="63" t="str">
        <f>Phase2_Input!D51</f>
        <v>A9</v>
      </c>
      <c r="D19" s="63" t="str">
        <f>Phase2_Input!C51</f>
        <v>S3</v>
      </c>
      <c r="E19" s="95" t="str">
        <f>IF(C19="-","-",IF(Phase2_Input!E51&gt;=Phase2_Input!$D$34,(IF(Phase2_Input!F51&gt;=Phase2_Input!$E$34,(IF(Phase2_Input!G51&gt;=Phase2_Input!$F$34,"Accepted","Rejected")),"Rejected")),"Rejected"))</f>
        <v>Rejected</v>
      </c>
      <c r="F19" s="95" t="str">
        <f>IF(C19="-","-",IF(Phase2_Input!H51&gt;=Phase2_Input!$G$34,(IF(Phase2_Input!I51&gt;=Phase2_Input!$H$34,(IF(Phase2_Input!J51&gt;=Phase2_Input!$I$34,"Accepted","Rejected")),"Rejected")),"Rejected"))</f>
        <v>Rejected</v>
      </c>
      <c r="H19" s="7"/>
      <c r="I19" s="4"/>
    </row>
    <row r="20" spans="2:9" x14ac:dyDescent="0.3">
      <c r="B20" s="5"/>
      <c r="C20" s="63" t="str">
        <f>Phase2_Input!D52</f>
        <v>A10</v>
      </c>
      <c r="D20" s="63" t="str">
        <f>Phase2_Input!C52</f>
        <v>S2</v>
      </c>
      <c r="E20" s="95" t="str">
        <f>IF(C20="-","-",IF(Phase2_Input!E52&gt;=Phase2_Input!$D$34,(IF(Phase2_Input!F52&gt;=Phase2_Input!$E$34,(IF(Phase2_Input!G52&gt;=Phase2_Input!$F$34,"Accepted","Rejected")),"Rejected")),"Rejected"))</f>
        <v>Accepted</v>
      </c>
      <c r="F20" s="95" t="str">
        <f>IF(C20="-","-",IF(Phase2_Input!H52&gt;=Phase2_Input!$G$34,(IF(Phase2_Input!I52&gt;=Phase2_Input!$H$34,(IF(Phase2_Input!J52&gt;=Phase2_Input!$I$34,"Accepted","Rejected")),"Rejected")),"Rejected"))</f>
        <v>Accepted</v>
      </c>
      <c r="H20" s="7"/>
      <c r="I20" s="4"/>
    </row>
    <row r="21" spans="2:9" x14ac:dyDescent="0.3">
      <c r="B21" s="5"/>
      <c r="C21" s="63" t="str">
        <f>Phase2_Input!D53</f>
        <v>A11</v>
      </c>
      <c r="D21" s="63" t="str">
        <f>Phase2_Input!C53</f>
        <v>S2</v>
      </c>
      <c r="E21" s="95" t="str">
        <f>IF(C21="-","-",IF(Phase2_Input!E53&gt;=Phase2_Input!$D$34,(IF(Phase2_Input!F53&gt;=Phase2_Input!$E$34,(IF(Phase2_Input!G53&gt;=Phase2_Input!$F$34,"Accepted","Rejected")),"Rejected")),"Rejected"))</f>
        <v>Accepted</v>
      </c>
      <c r="F21" s="95" t="str">
        <f>IF(C21="-","-",IF(Phase2_Input!H53&gt;=Phase2_Input!$G$34,(IF(Phase2_Input!I53&gt;=Phase2_Input!$H$34,(IF(Phase2_Input!J53&gt;=Phase2_Input!$I$34,"Accepted","Rejected")),"Rejected")),"Rejected"))</f>
        <v>Accepted</v>
      </c>
      <c r="H21" s="7"/>
      <c r="I21" s="4"/>
    </row>
    <row r="22" spans="2:9" x14ac:dyDescent="0.3">
      <c r="B22" s="5"/>
      <c r="C22" s="63" t="str">
        <f>Phase2_Input!D54</f>
        <v>A12</v>
      </c>
      <c r="D22" s="63" t="str">
        <f>Phase2_Input!C54</f>
        <v>S3</v>
      </c>
      <c r="E22" s="95" t="str">
        <f>IF(C22="-","-",IF(Phase2_Input!E54&gt;=Phase2_Input!$D$34,(IF(Phase2_Input!F54&gt;=Phase2_Input!$E$34,(IF(Phase2_Input!G54&gt;=Phase2_Input!$F$34,"Accepted","Rejected")),"Rejected")),"Rejected"))</f>
        <v>Rejected</v>
      </c>
      <c r="F22" s="95" t="str">
        <f>IF(C22="-","-",IF(Phase2_Input!H54&gt;=Phase2_Input!$G$34,(IF(Phase2_Input!I54&gt;=Phase2_Input!$H$34,(IF(Phase2_Input!J54&gt;=Phase2_Input!$I$34,"Accepted","Rejected")),"Rejected")),"Rejected"))</f>
        <v>Rejected</v>
      </c>
      <c r="H22" s="7"/>
      <c r="I22" s="4"/>
    </row>
    <row r="23" spans="2:9" x14ac:dyDescent="0.3">
      <c r="B23" s="5"/>
      <c r="C23" s="63" t="str">
        <f>Phase2_Input!D55</f>
        <v>A13</v>
      </c>
      <c r="D23" s="63" t="str">
        <f>Phase2_Input!C55</f>
        <v>S1</v>
      </c>
      <c r="E23" s="95" t="str">
        <f>IF(C23="-","-",IF(Phase2_Input!E55&gt;=Phase2_Input!$D$34,(IF(Phase2_Input!F55&gt;=Phase2_Input!$E$34,(IF(Phase2_Input!G55&gt;=Phase2_Input!$F$34,"Accepted","Rejected")),"Rejected")),"Rejected"))</f>
        <v>Accepted</v>
      </c>
      <c r="F23" s="95" t="str">
        <f>IF(C23="-","-",IF(Phase2_Input!H55&gt;=Phase2_Input!$G$34,(IF(Phase2_Input!I55&gt;=Phase2_Input!$H$34,(IF(Phase2_Input!J55&gt;=Phase2_Input!$I$34,"Accepted","Rejected")),"Rejected")),"Rejected"))</f>
        <v>Accepted</v>
      </c>
      <c r="H23" s="7"/>
      <c r="I23" s="4"/>
    </row>
    <row r="24" spans="2:9" x14ac:dyDescent="0.3">
      <c r="B24" s="5"/>
      <c r="C24" s="63" t="str">
        <f>Phase2_Input!D56</f>
        <v>A14</v>
      </c>
      <c r="D24" s="63" t="str">
        <f>Phase2_Input!C56</f>
        <v>S3</v>
      </c>
      <c r="E24" s="95" t="str">
        <f>IF(C24="-","-",IF(Phase2_Input!E56&gt;=Phase2_Input!$D$34,(IF(Phase2_Input!F56&gt;=Phase2_Input!$E$34,(IF(Phase2_Input!G56&gt;=Phase2_Input!$F$34,"Accepted","Rejected")),"Rejected")),"Rejected"))</f>
        <v>Rejected</v>
      </c>
      <c r="F24" s="95" t="str">
        <f>IF(C24="-","-",IF(Phase2_Input!H56&gt;=Phase2_Input!$G$34,(IF(Phase2_Input!I56&gt;=Phase2_Input!$H$34,(IF(Phase2_Input!J56&gt;=Phase2_Input!$I$34,"Accepted","Rejected")),"Rejected")),"Rejected"))</f>
        <v>Rejected</v>
      </c>
      <c r="H24" s="7"/>
      <c r="I24" s="4"/>
    </row>
    <row r="25" spans="2:9" x14ac:dyDescent="0.3">
      <c r="B25" s="5"/>
      <c r="C25" s="63" t="str">
        <f>Phase2_Input!D57</f>
        <v>A15</v>
      </c>
      <c r="D25" s="63" t="str">
        <f>Phase2_Input!C57</f>
        <v>S1</v>
      </c>
      <c r="E25" s="95" t="str">
        <f>IF(C25="-","-",IF(Phase2_Input!E57&gt;=Phase2_Input!$D$34,(IF(Phase2_Input!F57&gt;=Phase2_Input!$E$34,(IF(Phase2_Input!G57&gt;=Phase2_Input!$F$34,"Accepted","Rejected")),"Rejected")),"Rejected"))</f>
        <v>Accepted</v>
      </c>
      <c r="F25" s="95" t="str">
        <f>IF(C25="-","-",IF(Phase2_Input!H57&gt;=Phase2_Input!$G$34,(IF(Phase2_Input!I57&gt;=Phase2_Input!$H$34,(IF(Phase2_Input!J57&gt;=Phase2_Input!$I$34,"Accepted","Rejected")),"Rejected")),"Rejected"))</f>
        <v>Accepted</v>
      </c>
      <c r="H25" s="7"/>
      <c r="I25" s="4"/>
    </row>
    <row r="26" spans="2:9" x14ac:dyDescent="0.3">
      <c r="B26" s="5"/>
      <c r="C26" s="63" t="str">
        <f>Phase2_Input!D58</f>
        <v>A16</v>
      </c>
      <c r="D26" s="63" t="str">
        <f>Phase2_Input!C58</f>
        <v>S3</v>
      </c>
      <c r="E26" s="95" t="str">
        <f>IF(C26="-","-",IF(Phase2_Input!E58&gt;=Phase2_Input!$D$34,(IF(Phase2_Input!F58&gt;=Phase2_Input!$E$34,(IF(Phase2_Input!G58&gt;=Phase2_Input!$F$34,"Accepted","Rejected")),"Rejected")),"Rejected"))</f>
        <v>Rejected</v>
      </c>
      <c r="F26" s="95" t="str">
        <f>IF(C26="-","-",IF(Phase2_Input!H58&gt;=Phase2_Input!$G$34,(IF(Phase2_Input!I58&gt;=Phase2_Input!$H$34,(IF(Phase2_Input!J58&gt;=Phase2_Input!$I$34,"Accepted","Rejected")),"Rejected")),"Rejected"))</f>
        <v>Rejected</v>
      </c>
      <c r="H26" s="7"/>
      <c r="I26" s="4"/>
    </row>
    <row r="27" spans="2:9" x14ac:dyDescent="0.3">
      <c r="B27" s="5"/>
      <c r="C27" s="63" t="str">
        <f>Phase2_Input!D59</f>
        <v>A17</v>
      </c>
      <c r="D27" s="63" t="str">
        <f>Phase2_Input!C59</f>
        <v>S1</v>
      </c>
      <c r="E27" s="95" t="str">
        <f>IF(C27="-","-",IF(Phase2_Input!E59&gt;=Phase2_Input!$D$34,(IF(Phase2_Input!F59&gt;=Phase2_Input!$E$34,(IF(Phase2_Input!G59&gt;=Phase2_Input!$F$34,"Accepted","Rejected")),"Rejected")),"Rejected"))</f>
        <v>Accepted</v>
      </c>
      <c r="F27" s="95" t="str">
        <f>IF(C27="-","-",IF(Phase2_Input!H59&gt;=Phase2_Input!$G$34,(IF(Phase2_Input!I59&gt;=Phase2_Input!$H$34,(IF(Phase2_Input!J59&gt;=Phase2_Input!$I$34,"Accepted","Rejected")),"Rejected")),"Rejected"))</f>
        <v>Accepted</v>
      </c>
      <c r="H27" s="7"/>
      <c r="I27" s="4"/>
    </row>
    <row r="28" spans="2:9" x14ac:dyDescent="0.3">
      <c r="B28" s="5"/>
      <c r="C28" s="63" t="str">
        <f>Phase2_Input!D60</f>
        <v>A18</v>
      </c>
      <c r="D28" s="63" t="str">
        <f>Phase2_Input!C60</f>
        <v>S3</v>
      </c>
      <c r="E28" s="95" t="str">
        <f>IF(C28="-","-",IF(Phase2_Input!E60&gt;=Phase2_Input!$D$34,(IF(Phase2_Input!F60&gt;=Phase2_Input!$E$34,(IF(Phase2_Input!G60&gt;=Phase2_Input!$F$34,"Accepted","Rejected")),"Rejected")),"Rejected"))</f>
        <v>Rejected</v>
      </c>
      <c r="F28" s="95" t="str">
        <f>IF(C28="-","-",IF(Phase2_Input!H60&gt;=Phase2_Input!$G$34,(IF(Phase2_Input!I60&gt;=Phase2_Input!$H$34,(IF(Phase2_Input!J60&gt;=Phase2_Input!$I$34,"Accepted","Rejected")),"Rejected")),"Rejected"))</f>
        <v>Rejected</v>
      </c>
      <c r="H28" s="7"/>
      <c r="I28" s="4"/>
    </row>
    <row r="29" spans="2:9" x14ac:dyDescent="0.3">
      <c r="B29" s="5"/>
      <c r="H29" s="7"/>
      <c r="I29" s="4"/>
    </row>
    <row r="30" spans="2:9" ht="27.75" customHeight="1" x14ac:dyDescent="0.3">
      <c r="B30" s="5"/>
      <c r="C30" s="134" t="s">
        <v>132</v>
      </c>
      <c r="D30" s="4"/>
      <c r="E30" s="4"/>
      <c r="F30" s="4"/>
      <c r="G30" s="81"/>
      <c r="H30" s="7"/>
      <c r="I30" s="4"/>
    </row>
    <row r="31" spans="2:9" x14ac:dyDescent="0.3">
      <c r="B31" s="5"/>
      <c r="C31" s="135" t="s">
        <v>15</v>
      </c>
      <c r="D31" s="136" t="s">
        <v>78</v>
      </c>
      <c r="E31" s="4"/>
      <c r="F31" s="4"/>
      <c r="G31" s="81"/>
      <c r="H31" s="7"/>
      <c r="I31" s="4"/>
    </row>
    <row r="32" spans="2:9" x14ac:dyDescent="0.3">
      <c r="B32" s="5"/>
      <c r="C32" s="24" t="s">
        <v>79</v>
      </c>
      <c r="D32" s="96" t="s">
        <v>80</v>
      </c>
      <c r="E32" s="4"/>
      <c r="F32" s="4"/>
      <c r="G32" s="81"/>
      <c r="H32" s="7"/>
      <c r="I32" s="4"/>
    </row>
    <row r="33" spans="2:9" x14ac:dyDescent="0.3">
      <c r="B33" s="5"/>
      <c r="C33" s="97" t="s">
        <v>83</v>
      </c>
      <c r="D33" s="98" t="s">
        <v>80</v>
      </c>
      <c r="E33" s="4"/>
      <c r="F33" s="4"/>
      <c r="G33" s="81"/>
      <c r="H33" s="7"/>
      <c r="I33" s="4"/>
    </row>
    <row r="34" spans="2:9" x14ac:dyDescent="0.3">
      <c r="B34" s="5"/>
      <c r="C34" s="97" t="s">
        <v>84</v>
      </c>
      <c r="D34" s="98" t="s">
        <v>80</v>
      </c>
      <c r="E34" s="4"/>
      <c r="F34" s="4"/>
      <c r="G34" s="81"/>
      <c r="H34" s="7"/>
      <c r="I34" s="4"/>
    </row>
    <row r="35" spans="2:9" x14ac:dyDescent="0.3">
      <c r="B35" s="5"/>
      <c r="C35" s="97" t="s">
        <v>86</v>
      </c>
      <c r="D35" s="98" t="s">
        <v>80</v>
      </c>
      <c r="E35" s="4"/>
      <c r="F35" s="4"/>
      <c r="G35" s="81"/>
      <c r="H35" s="7"/>
      <c r="I35" s="4"/>
    </row>
    <row r="36" spans="2:9" x14ac:dyDescent="0.3">
      <c r="B36" s="5"/>
      <c r="C36" s="97" t="s">
        <v>89</v>
      </c>
      <c r="D36" s="98" t="s">
        <v>82</v>
      </c>
      <c r="E36" s="4"/>
      <c r="F36" s="4"/>
      <c r="G36" s="81"/>
      <c r="H36" s="7"/>
      <c r="I36" s="4"/>
    </row>
    <row r="37" spans="2:9" x14ac:dyDescent="0.3">
      <c r="B37" s="5"/>
      <c r="C37" s="97" t="s">
        <v>119</v>
      </c>
      <c r="D37" s="98" t="s">
        <v>82</v>
      </c>
      <c r="E37" s="4"/>
      <c r="F37" s="4"/>
      <c r="G37" s="81"/>
      <c r="H37" s="7"/>
      <c r="I37" s="4"/>
    </row>
    <row r="38" spans="2:9" x14ac:dyDescent="0.3">
      <c r="B38" s="5"/>
      <c r="C38" s="97" t="s">
        <v>120</v>
      </c>
      <c r="D38" s="98" t="s">
        <v>82</v>
      </c>
      <c r="E38" s="4"/>
      <c r="F38" s="4"/>
      <c r="G38" s="81"/>
      <c r="H38" s="7"/>
      <c r="I38" s="4"/>
    </row>
    <row r="39" spans="2:9" x14ac:dyDescent="0.3">
      <c r="B39" s="5"/>
      <c r="C39" s="97" t="s">
        <v>122</v>
      </c>
      <c r="D39" s="98" t="s">
        <v>80</v>
      </c>
      <c r="E39" s="4"/>
      <c r="F39" s="4"/>
      <c r="G39" s="81"/>
      <c r="H39" s="7"/>
      <c r="I39" s="4"/>
    </row>
    <row r="40" spans="2:9" x14ac:dyDescent="0.3">
      <c r="B40" s="5"/>
      <c r="C40" s="97" t="s">
        <v>124</v>
      </c>
      <c r="D40" s="98" t="s">
        <v>80</v>
      </c>
      <c r="E40" s="4"/>
      <c r="F40" s="4"/>
      <c r="G40" s="81"/>
      <c r="H40" s="7"/>
      <c r="I40" s="4"/>
    </row>
    <row r="41" spans="2:9" x14ac:dyDescent="0.3">
      <c r="B41" s="5"/>
      <c r="C41" s="97" t="s">
        <v>168</v>
      </c>
      <c r="D41" s="98" t="s">
        <v>80</v>
      </c>
      <c r="E41" s="4"/>
      <c r="F41" s="4"/>
      <c r="G41" s="81"/>
      <c r="H41" s="7"/>
      <c r="I41" s="4"/>
    </row>
    <row r="42" spans="2:9" x14ac:dyDescent="0.3">
      <c r="B42" s="5"/>
      <c r="C42" s="97"/>
      <c r="D42" s="98"/>
      <c r="E42" s="4"/>
      <c r="F42" s="4"/>
      <c r="G42" s="81"/>
      <c r="H42" s="7"/>
      <c r="I42" s="4"/>
    </row>
    <row r="43" spans="2:9" x14ac:dyDescent="0.3">
      <c r="B43" s="5"/>
      <c r="C43" s="97"/>
      <c r="D43" s="98"/>
      <c r="E43" s="4"/>
      <c r="F43" s="4"/>
      <c r="G43" s="81"/>
      <c r="H43" s="7"/>
      <c r="I43" s="4"/>
    </row>
    <row r="44" spans="2:9" x14ac:dyDescent="0.3">
      <c r="B44" s="5"/>
      <c r="C44" s="97"/>
      <c r="D44" s="98"/>
      <c r="E44" s="4"/>
      <c r="F44" s="4"/>
      <c r="G44" s="81"/>
      <c r="H44" s="7"/>
      <c r="I44" s="4"/>
    </row>
    <row r="45" spans="2:9" x14ac:dyDescent="0.3">
      <c r="B45" s="5"/>
      <c r="C45" s="97"/>
      <c r="D45" s="98"/>
      <c r="E45" s="4"/>
      <c r="F45" s="4"/>
      <c r="G45" s="81"/>
      <c r="H45" s="7"/>
      <c r="I45" s="4"/>
    </row>
    <row r="46" spans="2:9" x14ac:dyDescent="0.3">
      <c r="B46" s="5"/>
      <c r="C46" s="97"/>
      <c r="D46" s="98"/>
      <c r="E46" s="4"/>
      <c r="F46" s="4"/>
      <c r="G46" s="81"/>
      <c r="H46" s="7"/>
      <c r="I46" s="4"/>
    </row>
    <row r="47" spans="2:9" x14ac:dyDescent="0.3">
      <c r="B47" s="5"/>
      <c r="C47" s="99"/>
      <c r="D47" s="100"/>
      <c r="E47" s="4"/>
      <c r="F47" s="4"/>
      <c r="G47" s="81"/>
      <c r="H47" s="7"/>
      <c r="I47" s="4"/>
    </row>
    <row r="48" spans="2:9" x14ac:dyDescent="0.3">
      <c r="B48" s="5"/>
      <c r="C48" s="4"/>
      <c r="D48" s="4"/>
      <c r="E48" s="4"/>
      <c r="F48" s="4"/>
      <c r="G48" s="81"/>
      <c r="H48" s="7"/>
      <c r="I48" s="4"/>
    </row>
    <row r="49" spans="2:9" ht="15" thickBot="1" x14ac:dyDescent="0.35">
      <c r="B49" s="35"/>
      <c r="C49" s="36"/>
      <c r="D49" s="36"/>
      <c r="E49" s="36"/>
      <c r="F49" s="36"/>
      <c r="G49" s="101"/>
      <c r="H49" s="37"/>
      <c r="I49" s="4"/>
    </row>
  </sheetData>
  <conditionalFormatting sqref="E11:E28">
    <cfRule type="containsText" dxfId="3" priority="4" operator="containsText" text="Rejected">
      <formula>NOT(ISERROR(SEARCH("Rejected",E11)))</formula>
    </cfRule>
  </conditionalFormatting>
  <conditionalFormatting sqref="C11:D28">
    <cfRule type="expression" dxfId="2" priority="3">
      <formula>"$G$11=""Rejected"""</formula>
    </cfRule>
  </conditionalFormatting>
  <conditionalFormatting sqref="F11:F28">
    <cfRule type="containsText" dxfId="1" priority="2" operator="containsText" text="Rejected">
      <formula>NOT(ISERROR(SEARCH("Rejected",F11)))</formula>
    </cfRule>
  </conditionalFormatting>
  <conditionalFormatting sqref="C32:D47">
    <cfRule type="expression" dxfId="0" priority="1">
      <formula>"$G$11=""Rejected"""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6_Click">
                <anchor moveWithCells="1" sizeWithCells="1">
                  <from>
                    <xdr:col>5</xdr:col>
                    <xdr:colOff>1432560</xdr:colOff>
                    <xdr:row>46</xdr:row>
                    <xdr:rowOff>0</xdr:rowOff>
                  </from>
                  <to>
                    <xdr:col>7</xdr:col>
                    <xdr:colOff>213360</xdr:colOff>
                    <xdr:row>48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1:Z58"/>
  <sheetViews>
    <sheetView showGridLines="0" showRowColHeaders="0" zoomScale="85" zoomScaleNormal="85" workbookViewId="0">
      <selection activeCell="C1" sqref="C1"/>
    </sheetView>
  </sheetViews>
  <sheetFormatPr defaultRowHeight="14.4" x14ac:dyDescent="0.3"/>
  <cols>
    <col min="2" max="2" width="4.88671875" customWidth="1"/>
    <col min="3" max="3" width="18.44140625" customWidth="1"/>
    <col min="4" max="6" width="13.88671875" customWidth="1"/>
    <col min="7" max="7" width="12.5546875" customWidth="1"/>
    <col min="8" max="10" width="14.33203125" customWidth="1"/>
    <col min="11" max="13" width="14.6640625" customWidth="1"/>
    <col min="14" max="14" width="5.88671875" customWidth="1"/>
    <col min="15" max="16" width="9.109375" hidden="1" customWidth="1"/>
    <col min="17" max="18" width="17.5546875" hidden="1" customWidth="1"/>
    <col min="19" max="26" width="9.109375" hidden="1" customWidth="1"/>
    <col min="27" max="27" width="0" hidden="1" customWidth="1"/>
  </cols>
  <sheetData>
    <row r="1" spans="2:25" ht="15" thickBot="1" x14ac:dyDescent="0.35"/>
    <row r="2" spans="2:25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25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2:25" x14ac:dyDescent="0.3">
      <c r="B4" s="5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7"/>
    </row>
    <row r="5" spans="2:25" ht="18" x14ac:dyDescent="0.35">
      <c r="B5" s="5"/>
      <c r="C5" s="8" t="s">
        <v>141</v>
      </c>
      <c r="D5" s="4"/>
      <c r="E5" s="4"/>
      <c r="F5" s="4"/>
      <c r="G5" s="4"/>
      <c r="H5" s="4"/>
      <c r="I5" s="4"/>
      <c r="J5" s="4"/>
      <c r="K5" s="4"/>
      <c r="L5" s="4"/>
      <c r="M5" s="4"/>
      <c r="N5" s="7"/>
    </row>
    <row r="6" spans="2:25" ht="7.5" customHeight="1" x14ac:dyDescent="0.35">
      <c r="B6" s="5"/>
      <c r="C6" s="8"/>
      <c r="D6" s="4"/>
      <c r="E6" s="4"/>
      <c r="F6" s="4"/>
      <c r="G6" s="4"/>
      <c r="H6" s="4"/>
      <c r="I6" s="4"/>
      <c r="J6" s="4"/>
      <c r="K6" s="4"/>
      <c r="L6" s="4"/>
      <c r="M6" s="4"/>
      <c r="N6" s="7"/>
    </row>
    <row r="7" spans="2:25" x14ac:dyDescent="0.3">
      <c r="B7" s="5"/>
      <c r="C7" s="4" t="s">
        <v>77</v>
      </c>
      <c r="D7" s="4"/>
      <c r="E7" s="4"/>
      <c r="F7" s="4"/>
      <c r="G7" s="4"/>
      <c r="H7" s="4"/>
      <c r="I7" s="4"/>
      <c r="J7" s="4"/>
      <c r="K7" s="4"/>
      <c r="L7" s="4"/>
      <c r="M7" s="4"/>
      <c r="N7" s="7"/>
    </row>
    <row r="8" spans="2:25" ht="6.75" customHeight="1" x14ac:dyDescent="0.3">
      <c r="B8" s="5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7"/>
    </row>
    <row r="9" spans="2:25" x14ac:dyDescent="0.3">
      <c r="B9" s="5"/>
      <c r="D9" s="4"/>
      <c r="E9" s="4"/>
      <c r="F9" s="4"/>
      <c r="G9" s="4"/>
      <c r="H9" s="4"/>
      <c r="I9" s="4"/>
      <c r="J9" s="4"/>
      <c r="K9" s="4"/>
      <c r="L9" s="4"/>
      <c r="M9" s="4"/>
      <c r="N9" s="7"/>
    </row>
    <row r="10" spans="2:25" x14ac:dyDescent="0.3">
      <c r="B10" s="5"/>
      <c r="C10" s="10" t="s">
        <v>142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7"/>
    </row>
    <row r="11" spans="2:25" ht="15" thickBot="1" x14ac:dyDescent="0.35">
      <c r="B11" s="5"/>
      <c r="C11" s="10"/>
      <c r="D11" s="157" t="s">
        <v>15</v>
      </c>
      <c r="E11" s="157"/>
      <c r="F11" s="157"/>
      <c r="G11" s="157"/>
      <c r="H11" s="157"/>
      <c r="I11" s="157"/>
      <c r="J11" s="157"/>
      <c r="K11" s="148"/>
      <c r="L11" s="127"/>
      <c r="M11" s="127"/>
      <c r="N11" s="7"/>
    </row>
    <row r="12" spans="2:25" ht="15" thickBot="1" x14ac:dyDescent="0.35">
      <c r="B12" s="5"/>
      <c r="C12" s="93"/>
      <c r="D12" s="123" t="s">
        <v>79</v>
      </c>
      <c r="E12" s="124" t="s">
        <v>83</v>
      </c>
      <c r="F12" s="124" t="s">
        <v>84</v>
      </c>
      <c r="G12" s="124" t="s">
        <v>86</v>
      </c>
      <c r="H12" s="124" t="s">
        <v>89</v>
      </c>
      <c r="I12" s="124" t="s">
        <v>119</v>
      </c>
      <c r="J12" s="124" t="s">
        <v>120</v>
      </c>
      <c r="K12" s="124" t="s">
        <v>122</v>
      </c>
      <c r="L12" s="143" t="s">
        <v>124</v>
      </c>
      <c r="M12" s="125" t="s">
        <v>168</v>
      </c>
      <c r="N12" s="7"/>
      <c r="P12" t="str">
        <f>D12</f>
        <v>A1</v>
      </c>
      <c r="Q12" t="str">
        <f t="shared" ref="Q12:Y12" si="0">E12</f>
        <v>A3</v>
      </c>
      <c r="R12" t="str">
        <f t="shared" si="0"/>
        <v>A4</v>
      </c>
      <c r="S12" t="str">
        <f t="shared" si="0"/>
        <v>A6</v>
      </c>
      <c r="T12" t="str">
        <f t="shared" si="0"/>
        <v>A8</v>
      </c>
      <c r="U12" t="str">
        <f t="shared" si="0"/>
        <v>A10</v>
      </c>
      <c r="V12" t="str">
        <f t="shared" si="0"/>
        <v>A11</v>
      </c>
      <c r="W12" t="str">
        <f t="shared" si="0"/>
        <v>A13</v>
      </c>
      <c r="X12" t="str">
        <f t="shared" si="0"/>
        <v>A15</v>
      </c>
      <c r="Y12" t="str">
        <f t="shared" si="0"/>
        <v>A17</v>
      </c>
    </row>
    <row r="13" spans="2:25" x14ac:dyDescent="0.3">
      <c r="B13" s="156" t="s">
        <v>3</v>
      </c>
      <c r="C13" s="112" t="s">
        <v>61</v>
      </c>
      <c r="D13" s="120">
        <v>5</v>
      </c>
      <c r="E13" s="121">
        <v>5</v>
      </c>
      <c r="F13" s="121">
        <v>0</v>
      </c>
      <c r="G13" s="121">
        <v>0</v>
      </c>
      <c r="H13" s="121">
        <v>0</v>
      </c>
      <c r="I13" s="121">
        <v>5</v>
      </c>
      <c r="J13" s="121">
        <v>5</v>
      </c>
      <c r="K13" s="121">
        <v>0</v>
      </c>
      <c r="L13" s="142">
        <v>0</v>
      </c>
      <c r="M13" s="122">
        <v>0</v>
      </c>
      <c r="N13" s="7"/>
      <c r="P13">
        <f>IF(D13&gt;0,1,0)</f>
        <v>1</v>
      </c>
      <c r="Q13">
        <f t="shared" ref="Q13:W20" si="1">IF(E13&gt;0,1,0)</f>
        <v>1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1</v>
      </c>
      <c r="V13">
        <f t="shared" si="1"/>
        <v>1</v>
      </c>
      <c r="W13">
        <f t="shared" si="1"/>
        <v>0</v>
      </c>
      <c r="X13">
        <f t="shared" ref="X13" si="2">IF(L13&gt;0,1,0)</f>
        <v>0</v>
      </c>
      <c r="Y13">
        <f t="shared" ref="Y13" si="3">IF(M13&gt;0,1,0)</f>
        <v>0</v>
      </c>
    </row>
    <row r="14" spans="2:25" x14ac:dyDescent="0.3">
      <c r="B14" s="156"/>
      <c r="C14" s="112" t="s">
        <v>60</v>
      </c>
      <c r="D14" s="107">
        <v>4</v>
      </c>
      <c r="E14" s="92">
        <v>4</v>
      </c>
      <c r="F14" s="92">
        <v>0</v>
      </c>
      <c r="G14" s="92">
        <v>0</v>
      </c>
      <c r="H14" s="92">
        <v>0</v>
      </c>
      <c r="I14" s="92">
        <v>4</v>
      </c>
      <c r="J14" s="92">
        <v>3</v>
      </c>
      <c r="K14" s="92">
        <v>0</v>
      </c>
      <c r="L14" s="140">
        <v>0</v>
      </c>
      <c r="M14" s="108">
        <v>0</v>
      </c>
      <c r="N14" s="7"/>
      <c r="P14">
        <f t="shared" ref="P14:P20" si="4">IF(D14&gt;0,1,0)</f>
        <v>1</v>
      </c>
      <c r="Q14">
        <f t="shared" si="1"/>
        <v>1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1</v>
      </c>
      <c r="V14">
        <f t="shared" si="1"/>
        <v>1</v>
      </c>
      <c r="W14">
        <f t="shared" si="1"/>
        <v>0</v>
      </c>
      <c r="X14">
        <f t="shared" ref="X14:X20" si="5">IF(L14&gt;0,1,0)</f>
        <v>0</v>
      </c>
      <c r="Y14">
        <f t="shared" ref="Y14:Y20" si="6">IF(M14&gt;0,1,0)</f>
        <v>0</v>
      </c>
    </row>
    <row r="15" spans="2:25" x14ac:dyDescent="0.3">
      <c r="B15" s="156"/>
      <c r="C15" s="112" t="s">
        <v>59</v>
      </c>
      <c r="D15" s="107">
        <v>4</v>
      </c>
      <c r="E15" s="92">
        <v>3</v>
      </c>
      <c r="F15" s="92">
        <v>0</v>
      </c>
      <c r="G15" s="92">
        <v>0</v>
      </c>
      <c r="H15" s="92">
        <v>0</v>
      </c>
      <c r="I15" s="92">
        <v>4</v>
      </c>
      <c r="J15" s="92">
        <v>4</v>
      </c>
      <c r="K15" s="92">
        <v>0</v>
      </c>
      <c r="L15" s="140">
        <v>5</v>
      </c>
      <c r="M15" s="108">
        <v>0</v>
      </c>
      <c r="N15" s="7"/>
      <c r="P15">
        <f t="shared" si="4"/>
        <v>1</v>
      </c>
      <c r="Q15">
        <f t="shared" si="1"/>
        <v>1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1</v>
      </c>
      <c r="V15">
        <f t="shared" si="1"/>
        <v>1</v>
      </c>
      <c r="W15">
        <f t="shared" si="1"/>
        <v>0</v>
      </c>
      <c r="X15">
        <f t="shared" si="5"/>
        <v>1</v>
      </c>
      <c r="Y15">
        <f t="shared" si="6"/>
        <v>0</v>
      </c>
    </row>
    <row r="16" spans="2:25" x14ac:dyDescent="0.3">
      <c r="B16" s="156"/>
      <c r="C16" s="112" t="s">
        <v>58</v>
      </c>
      <c r="D16" s="107">
        <v>5</v>
      </c>
      <c r="E16" s="92">
        <v>3</v>
      </c>
      <c r="F16" s="92">
        <v>4</v>
      </c>
      <c r="G16" s="92">
        <v>5</v>
      </c>
      <c r="H16" s="92">
        <v>4</v>
      </c>
      <c r="I16" s="92">
        <v>5</v>
      </c>
      <c r="J16" s="92">
        <v>1</v>
      </c>
      <c r="K16" s="92">
        <v>5</v>
      </c>
      <c r="L16" s="140">
        <v>0</v>
      </c>
      <c r="M16" s="108">
        <v>4</v>
      </c>
      <c r="N16" s="7"/>
      <c r="P16">
        <f t="shared" si="4"/>
        <v>1</v>
      </c>
      <c r="Q16">
        <f t="shared" si="1"/>
        <v>1</v>
      </c>
      <c r="R16">
        <f t="shared" si="1"/>
        <v>1</v>
      </c>
      <c r="S16">
        <f t="shared" si="1"/>
        <v>1</v>
      </c>
      <c r="T16">
        <f t="shared" si="1"/>
        <v>1</v>
      </c>
      <c r="U16">
        <f t="shared" si="1"/>
        <v>1</v>
      </c>
      <c r="V16">
        <f t="shared" si="1"/>
        <v>1</v>
      </c>
      <c r="W16">
        <f t="shared" si="1"/>
        <v>1</v>
      </c>
      <c r="X16">
        <f t="shared" si="5"/>
        <v>0</v>
      </c>
      <c r="Y16">
        <f t="shared" si="6"/>
        <v>1</v>
      </c>
    </row>
    <row r="17" spans="2:25" x14ac:dyDescent="0.3">
      <c r="B17" s="156"/>
      <c r="C17" s="112" t="s">
        <v>57</v>
      </c>
      <c r="D17" s="107">
        <v>4</v>
      </c>
      <c r="E17" s="92">
        <v>5</v>
      </c>
      <c r="F17" s="92">
        <v>4</v>
      </c>
      <c r="G17" s="92">
        <v>4</v>
      </c>
      <c r="H17" s="92">
        <v>4</v>
      </c>
      <c r="I17" s="92">
        <v>5</v>
      </c>
      <c r="J17" s="92">
        <v>4</v>
      </c>
      <c r="K17" s="92">
        <v>5</v>
      </c>
      <c r="L17" s="140">
        <v>5</v>
      </c>
      <c r="M17" s="108">
        <v>4</v>
      </c>
      <c r="N17" s="7"/>
      <c r="P17">
        <f t="shared" si="4"/>
        <v>1</v>
      </c>
      <c r="Q17">
        <f t="shared" si="1"/>
        <v>1</v>
      </c>
      <c r="R17">
        <f t="shared" si="1"/>
        <v>1</v>
      </c>
      <c r="S17">
        <f t="shared" si="1"/>
        <v>1</v>
      </c>
      <c r="T17">
        <f t="shared" si="1"/>
        <v>1</v>
      </c>
      <c r="U17">
        <f t="shared" si="1"/>
        <v>1</v>
      </c>
      <c r="V17">
        <f t="shared" si="1"/>
        <v>1</v>
      </c>
      <c r="W17">
        <f t="shared" si="1"/>
        <v>1</v>
      </c>
      <c r="X17">
        <f t="shared" si="5"/>
        <v>1</v>
      </c>
      <c r="Y17">
        <f t="shared" si="6"/>
        <v>1</v>
      </c>
    </row>
    <row r="18" spans="2:25" x14ac:dyDescent="0.3">
      <c r="B18" s="156"/>
      <c r="C18" s="112" t="s">
        <v>68</v>
      </c>
      <c r="D18" s="107">
        <v>5</v>
      </c>
      <c r="E18" s="92">
        <v>4</v>
      </c>
      <c r="F18" s="92">
        <v>0</v>
      </c>
      <c r="G18" s="92">
        <v>0</v>
      </c>
      <c r="H18" s="92">
        <v>0</v>
      </c>
      <c r="I18" s="92">
        <v>5</v>
      </c>
      <c r="J18" s="92">
        <v>5</v>
      </c>
      <c r="K18" s="92">
        <v>0</v>
      </c>
      <c r="L18" s="140">
        <v>0</v>
      </c>
      <c r="M18" s="108">
        <v>0</v>
      </c>
      <c r="N18" s="7"/>
      <c r="P18">
        <f t="shared" si="4"/>
        <v>1</v>
      </c>
      <c r="Q18">
        <f t="shared" si="1"/>
        <v>1</v>
      </c>
      <c r="R18">
        <f t="shared" si="1"/>
        <v>0</v>
      </c>
      <c r="S18">
        <f t="shared" si="1"/>
        <v>0</v>
      </c>
      <c r="T18">
        <f t="shared" si="1"/>
        <v>0</v>
      </c>
      <c r="U18">
        <f t="shared" si="1"/>
        <v>1</v>
      </c>
      <c r="V18">
        <f t="shared" si="1"/>
        <v>1</v>
      </c>
      <c r="W18">
        <f t="shared" si="1"/>
        <v>0</v>
      </c>
      <c r="X18">
        <f t="shared" si="5"/>
        <v>0</v>
      </c>
      <c r="Y18">
        <f t="shared" si="6"/>
        <v>0</v>
      </c>
    </row>
    <row r="19" spans="2:25" x14ac:dyDescent="0.3">
      <c r="B19" s="156"/>
      <c r="C19" s="112" t="s">
        <v>69</v>
      </c>
      <c r="D19" s="107">
        <v>5</v>
      </c>
      <c r="E19" s="92">
        <v>3</v>
      </c>
      <c r="F19" s="92">
        <v>0</v>
      </c>
      <c r="G19" s="92">
        <v>0</v>
      </c>
      <c r="H19" s="92">
        <v>0</v>
      </c>
      <c r="I19" s="92">
        <v>5</v>
      </c>
      <c r="J19" s="92">
        <v>4</v>
      </c>
      <c r="K19" s="92">
        <v>0</v>
      </c>
      <c r="L19" s="140">
        <v>0</v>
      </c>
      <c r="M19" s="108">
        <v>0</v>
      </c>
      <c r="N19" s="7"/>
      <c r="P19">
        <f t="shared" si="4"/>
        <v>1</v>
      </c>
      <c r="Q19">
        <f t="shared" si="1"/>
        <v>1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1</v>
      </c>
      <c r="V19">
        <f t="shared" si="1"/>
        <v>1</v>
      </c>
      <c r="W19">
        <f t="shared" si="1"/>
        <v>0</v>
      </c>
      <c r="X19">
        <f t="shared" si="5"/>
        <v>0</v>
      </c>
      <c r="Y19">
        <f t="shared" si="6"/>
        <v>0</v>
      </c>
    </row>
    <row r="20" spans="2:25" ht="15" thickBot="1" x14ac:dyDescent="0.35">
      <c r="B20" s="156"/>
      <c r="C20" s="112" t="s">
        <v>70</v>
      </c>
      <c r="D20" s="109">
        <v>5</v>
      </c>
      <c r="E20" s="113">
        <v>4</v>
      </c>
      <c r="F20" s="113">
        <v>0</v>
      </c>
      <c r="G20" s="113">
        <v>0</v>
      </c>
      <c r="H20" s="113">
        <v>0</v>
      </c>
      <c r="I20" s="113">
        <v>5</v>
      </c>
      <c r="J20" s="113">
        <v>5</v>
      </c>
      <c r="K20" s="113">
        <v>0</v>
      </c>
      <c r="L20" s="141">
        <v>0</v>
      </c>
      <c r="M20" s="110">
        <v>0</v>
      </c>
      <c r="N20" s="7"/>
      <c r="P20">
        <f t="shared" si="4"/>
        <v>1</v>
      </c>
      <c r="Q20">
        <f t="shared" si="1"/>
        <v>1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1</v>
      </c>
      <c r="V20">
        <f t="shared" si="1"/>
        <v>1</v>
      </c>
      <c r="W20">
        <f t="shared" si="1"/>
        <v>0</v>
      </c>
      <c r="X20">
        <f t="shared" si="5"/>
        <v>0</v>
      </c>
      <c r="Y20">
        <f t="shared" si="6"/>
        <v>0</v>
      </c>
    </row>
    <row r="21" spans="2:25" x14ac:dyDescent="0.3">
      <c r="B21" s="5"/>
      <c r="C21" s="4" t="s">
        <v>143</v>
      </c>
      <c r="D21" s="74"/>
      <c r="E21" s="74"/>
      <c r="F21" s="74"/>
      <c r="G21" s="74"/>
      <c r="H21" s="74"/>
      <c r="I21" s="74"/>
      <c r="J21" s="4"/>
      <c r="K21" s="74"/>
      <c r="L21" s="74"/>
      <c r="M21" s="74"/>
      <c r="N21" s="7"/>
    </row>
    <row r="22" spans="2:25" x14ac:dyDescent="0.3">
      <c r="B22" s="5"/>
      <c r="H22" s="74"/>
      <c r="N22" s="7"/>
    </row>
    <row r="23" spans="2:25" x14ac:dyDescent="0.3">
      <c r="B23" s="5"/>
      <c r="C23" s="10" t="s">
        <v>149</v>
      </c>
      <c r="N23" s="7"/>
    </row>
    <row r="24" spans="2:25" x14ac:dyDescent="0.3">
      <c r="B24" s="5"/>
      <c r="D24" s="148" t="s">
        <v>15</v>
      </c>
      <c r="E24" s="148"/>
      <c r="F24" s="148"/>
      <c r="G24" s="148"/>
      <c r="H24" s="148"/>
      <c r="I24" s="148"/>
      <c r="J24" s="148"/>
      <c r="K24" s="148"/>
      <c r="L24" s="127"/>
      <c r="M24" s="127"/>
      <c r="N24" s="7"/>
    </row>
    <row r="25" spans="2:25" ht="15" thickBot="1" x14ac:dyDescent="0.35">
      <c r="B25" s="5"/>
      <c r="C25" s="74"/>
      <c r="D25" s="137" t="str">
        <f t="shared" ref="D25:M25" si="7">D12</f>
        <v>A1</v>
      </c>
      <c r="E25" s="137" t="str">
        <f t="shared" si="7"/>
        <v>A3</v>
      </c>
      <c r="F25" s="137" t="str">
        <f t="shared" si="7"/>
        <v>A4</v>
      </c>
      <c r="G25" s="137" t="str">
        <f t="shared" si="7"/>
        <v>A6</v>
      </c>
      <c r="H25" s="137" t="str">
        <f t="shared" si="7"/>
        <v>A8</v>
      </c>
      <c r="I25" s="137" t="str">
        <f t="shared" si="7"/>
        <v>A10</v>
      </c>
      <c r="J25" s="137" t="str">
        <f>J12</f>
        <v>A11</v>
      </c>
      <c r="K25" s="137" t="str">
        <f t="shared" si="7"/>
        <v>A13</v>
      </c>
      <c r="L25" s="24" t="str">
        <f t="shared" si="7"/>
        <v>A15</v>
      </c>
      <c r="M25" s="24" t="str">
        <f t="shared" si="7"/>
        <v>A17</v>
      </c>
      <c r="N25" s="7"/>
    </row>
    <row r="26" spans="2:25" x14ac:dyDescent="0.3">
      <c r="B26" s="156" t="s">
        <v>78</v>
      </c>
      <c r="C26" s="112" t="s">
        <v>146</v>
      </c>
      <c r="D26" s="105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44">
        <v>0</v>
      </c>
      <c r="L26" s="114">
        <v>0</v>
      </c>
      <c r="M26" s="106">
        <v>0</v>
      </c>
      <c r="N26" s="7"/>
    </row>
    <row r="27" spans="2:25" x14ac:dyDescent="0.3">
      <c r="B27" s="156"/>
      <c r="C27" s="112" t="s">
        <v>147</v>
      </c>
      <c r="D27" s="107">
        <v>0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138">
        <v>0</v>
      </c>
      <c r="L27" s="92">
        <v>0</v>
      </c>
      <c r="M27" s="108">
        <v>0</v>
      </c>
      <c r="N27" s="7"/>
    </row>
    <row r="28" spans="2:25" x14ac:dyDescent="0.3">
      <c r="B28" s="156"/>
      <c r="C28" s="112" t="s">
        <v>148</v>
      </c>
      <c r="D28" s="107">
        <v>0</v>
      </c>
      <c r="E28" s="92">
        <v>0</v>
      </c>
      <c r="F28" s="92">
        <v>0</v>
      </c>
      <c r="G28" s="92">
        <v>0</v>
      </c>
      <c r="H28" s="92">
        <v>0</v>
      </c>
      <c r="I28" s="92">
        <v>0</v>
      </c>
      <c r="J28" s="92">
        <v>0</v>
      </c>
      <c r="K28" s="138">
        <v>0</v>
      </c>
      <c r="L28" s="92">
        <v>0</v>
      </c>
      <c r="M28" s="108">
        <v>0</v>
      </c>
      <c r="N28" s="7"/>
    </row>
    <row r="29" spans="2:25" x14ac:dyDescent="0.3">
      <c r="B29" s="156"/>
      <c r="C29" s="112" t="s">
        <v>80</v>
      </c>
      <c r="D29" s="107">
        <v>1</v>
      </c>
      <c r="E29" s="92">
        <v>1</v>
      </c>
      <c r="F29" s="92">
        <v>1</v>
      </c>
      <c r="G29" s="92">
        <v>1</v>
      </c>
      <c r="H29" s="92">
        <v>0</v>
      </c>
      <c r="I29" s="92">
        <v>0</v>
      </c>
      <c r="J29" s="92">
        <v>0</v>
      </c>
      <c r="K29" s="138">
        <v>1</v>
      </c>
      <c r="L29" s="92">
        <v>1</v>
      </c>
      <c r="M29" s="108">
        <v>1</v>
      </c>
      <c r="N29" s="7"/>
    </row>
    <row r="30" spans="2:25" x14ac:dyDescent="0.3">
      <c r="B30" s="156"/>
      <c r="C30" s="112" t="s">
        <v>82</v>
      </c>
      <c r="D30" s="107">
        <v>0</v>
      </c>
      <c r="E30" s="92">
        <v>0</v>
      </c>
      <c r="F30" s="92">
        <v>0</v>
      </c>
      <c r="G30" s="92">
        <v>0</v>
      </c>
      <c r="H30" s="92">
        <v>1</v>
      </c>
      <c r="I30" s="92">
        <v>1</v>
      </c>
      <c r="J30" s="92">
        <v>1</v>
      </c>
      <c r="K30" s="138">
        <v>0</v>
      </c>
      <c r="L30" s="92">
        <v>0</v>
      </c>
      <c r="M30" s="108">
        <v>0</v>
      </c>
      <c r="N30" s="7"/>
    </row>
    <row r="31" spans="2:25" ht="15" thickBot="1" x14ac:dyDescent="0.35">
      <c r="B31" s="156"/>
      <c r="C31" s="112" t="s">
        <v>87</v>
      </c>
      <c r="D31" s="109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39">
        <v>0</v>
      </c>
      <c r="L31" s="113">
        <v>0</v>
      </c>
      <c r="M31" s="110">
        <v>0</v>
      </c>
      <c r="N31" s="7"/>
    </row>
    <row r="32" spans="2:25" x14ac:dyDescent="0.3">
      <c r="B32" s="5"/>
      <c r="C32" s="4" t="s">
        <v>144</v>
      </c>
      <c r="N32" s="7"/>
    </row>
    <row r="33" spans="2:19" x14ac:dyDescent="0.3">
      <c r="B33" s="5"/>
      <c r="N33" s="7"/>
    </row>
    <row r="34" spans="2:19" x14ac:dyDescent="0.3">
      <c r="B34" s="5"/>
      <c r="C34" s="10" t="s">
        <v>145</v>
      </c>
      <c r="D34" s="4"/>
      <c r="E34" s="4"/>
      <c r="N34" s="7"/>
    </row>
    <row r="35" spans="2:19" ht="15" customHeight="1" x14ac:dyDescent="0.3">
      <c r="B35" s="5"/>
      <c r="C35" s="4"/>
      <c r="D35" s="149" t="s">
        <v>156</v>
      </c>
      <c r="E35" s="149"/>
      <c r="F35" s="149"/>
      <c r="N35" s="7"/>
    </row>
    <row r="36" spans="2:19" ht="48.75" customHeight="1" thickBot="1" x14ac:dyDescent="0.35">
      <c r="B36" s="5"/>
      <c r="C36" s="4"/>
      <c r="D36" s="86" t="s">
        <v>170</v>
      </c>
      <c r="E36" s="86" t="s">
        <v>171</v>
      </c>
      <c r="F36" s="86" t="s">
        <v>172</v>
      </c>
      <c r="N36" s="7"/>
      <c r="Q36" s="115" t="str">
        <f>D36</f>
        <v xml:space="preserve">Architecture 1 </v>
      </c>
      <c r="R36" s="115" t="str">
        <f t="shared" ref="R36:S36" si="8">E36</f>
        <v xml:space="preserve">Architecture 2 </v>
      </c>
      <c r="S36" s="115" t="str">
        <f t="shared" si="8"/>
        <v>Architecture 3</v>
      </c>
    </row>
    <row r="37" spans="2:19" x14ac:dyDescent="0.3">
      <c r="B37" s="156" t="s">
        <v>15</v>
      </c>
      <c r="C37" s="112" t="str">
        <f t="array" ref="C37:C46">TRANSPOSE(D12:M12)</f>
        <v>A1</v>
      </c>
      <c r="D37" s="26">
        <v>1</v>
      </c>
      <c r="E37" s="145">
        <v>0</v>
      </c>
      <c r="F37" s="27">
        <v>0</v>
      </c>
      <c r="N37" s="7"/>
      <c r="P37" s="112" t="s">
        <v>146</v>
      </c>
      <c r="Q37">
        <f t="array" ref="Q37:S42">MMULT(D26:M31,D37:F46)</f>
        <v>0</v>
      </c>
      <c r="R37">
        <v>0</v>
      </c>
      <c r="S37">
        <v>0</v>
      </c>
    </row>
    <row r="38" spans="2:19" x14ac:dyDescent="0.3">
      <c r="B38" s="156"/>
      <c r="C38" s="112" t="str">
        <v>A3</v>
      </c>
      <c r="D38" s="28">
        <v>0</v>
      </c>
      <c r="E38" s="146">
        <v>1</v>
      </c>
      <c r="F38" s="29">
        <v>0</v>
      </c>
      <c r="N38" s="7"/>
      <c r="P38" s="112" t="s">
        <v>147</v>
      </c>
      <c r="Q38">
        <v>0</v>
      </c>
      <c r="R38">
        <v>0</v>
      </c>
      <c r="S38">
        <v>0</v>
      </c>
    </row>
    <row r="39" spans="2:19" x14ac:dyDescent="0.3">
      <c r="B39" s="156"/>
      <c r="C39" s="112" t="str">
        <v>A4</v>
      </c>
      <c r="D39" s="28">
        <v>0</v>
      </c>
      <c r="E39" s="146">
        <v>0</v>
      </c>
      <c r="F39" s="29">
        <v>1</v>
      </c>
      <c r="N39" s="7"/>
      <c r="P39" s="112" t="s">
        <v>148</v>
      </c>
      <c r="Q39">
        <v>0</v>
      </c>
      <c r="R39">
        <v>0</v>
      </c>
      <c r="S39">
        <v>0</v>
      </c>
    </row>
    <row r="40" spans="2:19" x14ac:dyDescent="0.3">
      <c r="B40" s="156"/>
      <c r="C40" s="112" t="str">
        <v>A6</v>
      </c>
      <c r="D40" s="28">
        <v>1</v>
      </c>
      <c r="E40" s="146">
        <v>1</v>
      </c>
      <c r="F40" s="29">
        <v>0</v>
      </c>
      <c r="N40" s="7"/>
      <c r="P40" s="112" t="s">
        <v>80</v>
      </c>
      <c r="Q40">
        <v>5</v>
      </c>
      <c r="R40">
        <v>5</v>
      </c>
      <c r="S40">
        <v>3</v>
      </c>
    </row>
    <row r="41" spans="2:19" x14ac:dyDescent="0.3">
      <c r="B41" s="156"/>
      <c r="C41" s="112" t="str">
        <v>A8</v>
      </c>
      <c r="D41" s="28">
        <v>1</v>
      </c>
      <c r="E41" s="146">
        <v>1</v>
      </c>
      <c r="F41" s="29">
        <v>0</v>
      </c>
      <c r="N41" s="7"/>
      <c r="P41" s="112" t="s">
        <v>82</v>
      </c>
      <c r="Q41">
        <v>1</v>
      </c>
      <c r="R41">
        <v>1</v>
      </c>
      <c r="S41">
        <v>1</v>
      </c>
    </row>
    <row r="42" spans="2:19" x14ac:dyDescent="0.3">
      <c r="B42" s="156"/>
      <c r="C42" s="112" t="str">
        <v>A10</v>
      </c>
      <c r="D42" s="28">
        <v>0</v>
      </c>
      <c r="E42" s="146">
        <v>0</v>
      </c>
      <c r="F42" s="29">
        <v>1</v>
      </c>
      <c r="N42" s="7"/>
      <c r="P42" s="112" t="s">
        <v>87</v>
      </c>
      <c r="Q42">
        <v>0</v>
      </c>
      <c r="R42">
        <v>0</v>
      </c>
      <c r="S42">
        <v>0</v>
      </c>
    </row>
    <row r="43" spans="2:19" x14ac:dyDescent="0.3">
      <c r="B43" s="156"/>
      <c r="C43" s="112" t="str">
        <v>A11</v>
      </c>
      <c r="D43" s="28">
        <v>0</v>
      </c>
      <c r="E43" s="146">
        <v>0</v>
      </c>
      <c r="F43" s="29">
        <v>0</v>
      </c>
      <c r="N43" s="7"/>
    </row>
    <row r="44" spans="2:19" x14ac:dyDescent="0.3">
      <c r="B44" s="156"/>
      <c r="C44" s="112" t="str">
        <v>A13</v>
      </c>
      <c r="D44" s="28">
        <v>1</v>
      </c>
      <c r="E44" s="146">
        <v>1</v>
      </c>
      <c r="F44" s="29">
        <v>0</v>
      </c>
      <c r="N44" s="7"/>
    </row>
    <row r="45" spans="2:19" x14ac:dyDescent="0.3">
      <c r="B45" s="5"/>
      <c r="C45" s="112" t="str">
        <v>A15</v>
      </c>
      <c r="D45" s="28">
        <v>1</v>
      </c>
      <c r="E45" s="146">
        <v>1</v>
      </c>
      <c r="F45" s="29">
        <v>1</v>
      </c>
      <c r="K45" s="4"/>
      <c r="L45" s="4"/>
      <c r="M45" s="4"/>
      <c r="N45" s="7"/>
    </row>
    <row r="46" spans="2:19" ht="15" thickBot="1" x14ac:dyDescent="0.35">
      <c r="B46" s="5"/>
      <c r="C46" s="112" t="str">
        <v>A17</v>
      </c>
      <c r="D46" s="31">
        <v>1</v>
      </c>
      <c r="E46" s="147">
        <v>1</v>
      </c>
      <c r="F46" s="32">
        <v>1</v>
      </c>
      <c r="G46" s="4"/>
      <c r="H46" s="4"/>
      <c r="J46" s="4"/>
      <c r="K46" s="4"/>
      <c r="L46" s="4"/>
      <c r="M46" s="4"/>
      <c r="N46" s="7"/>
    </row>
    <row r="47" spans="2:19" x14ac:dyDescent="0.3">
      <c r="B47" s="5"/>
      <c r="C47" s="4" t="s">
        <v>144</v>
      </c>
      <c r="K47" s="4"/>
      <c r="L47" s="4"/>
      <c r="M47" s="4"/>
      <c r="N47" s="7"/>
    </row>
    <row r="48" spans="2:19" x14ac:dyDescent="0.3">
      <c r="B48" s="5"/>
      <c r="I48" s="4"/>
      <c r="J48" s="4"/>
      <c r="K48" s="4"/>
      <c r="L48" s="4"/>
      <c r="M48" s="4"/>
      <c r="N48" s="7"/>
    </row>
    <row r="49" spans="2:14" x14ac:dyDescent="0.3">
      <c r="B49" s="5"/>
      <c r="F49" s="4"/>
      <c r="G49" s="4"/>
      <c r="H49" s="4"/>
      <c r="I49" s="4"/>
      <c r="J49" s="4"/>
      <c r="K49" s="4"/>
      <c r="L49" s="4"/>
      <c r="M49" s="4"/>
      <c r="N49" s="7"/>
    </row>
    <row r="50" spans="2:14" ht="15" thickBot="1" x14ac:dyDescent="0.3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7"/>
    </row>
    <row r="58" spans="2:14" ht="18.75" customHeight="1" x14ac:dyDescent="0.3"/>
  </sheetData>
  <mergeCells count="7">
    <mergeCell ref="B43:B44"/>
    <mergeCell ref="D11:K11"/>
    <mergeCell ref="B13:B20"/>
    <mergeCell ref="B26:B31"/>
    <mergeCell ref="D24:K24"/>
    <mergeCell ref="B37:B42"/>
    <mergeCell ref="D35:F35"/>
  </mergeCells>
  <dataValidations count="2">
    <dataValidation type="list" allowBlank="1" showInputMessage="1" showErrorMessage="1" sqref="D37:F46 D26:M31" xr:uid="{00000000-0002-0000-0400-000000000000}">
      <formula1>"0,1"</formula1>
    </dataValidation>
    <dataValidation type="list" allowBlank="1" showInputMessage="1" showErrorMessage="1" sqref="D13:M20" xr:uid="{00000000-0002-0000-0400-000001000000}">
      <formula1>"0,1,2,3,4,5"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7_Click">
                <anchor moveWithCells="1" sizeWithCells="1">
                  <from>
                    <xdr:col>8</xdr:col>
                    <xdr:colOff>708660</xdr:colOff>
                    <xdr:row>46</xdr:row>
                    <xdr:rowOff>45720</xdr:rowOff>
                  </from>
                  <to>
                    <xdr:col>10</xdr:col>
                    <xdr:colOff>914400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M43"/>
  <sheetViews>
    <sheetView showGridLines="0" showRowColHeaders="0" tabSelected="1" topLeftCell="A15" workbookViewId="0">
      <selection activeCell="K42" sqref="K42"/>
    </sheetView>
  </sheetViews>
  <sheetFormatPr defaultRowHeight="14.4" x14ac:dyDescent="0.3"/>
  <cols>
    <col min="2" max="2" width="4.88671875" customWidth="1"/>
    <col min="3" max="3" width="21" customWidth="1"/>
    <col min="4" max="6" width="13.88671875" customWidth="1"/>
    <col min="7" max="7" width="12.5546875" customWidth="1"/>
    <col min="8" max="8" width="14.33203125" customWidth="1"/>
    <col min="9" max="10" width="5.88671875" customWidth="1"/>
    <col min="11" max="16" width="9.109375" customWidth="1"/>
  </cols>
  <sheetData>
    <row r="1" spans="2:10" ht="15" thickBot="1" x14ac:dyDescent="0.35"/>
    <row r="2" spans="2:10" x14ac:dyDescent="0.3">
      <c r="B2" s="1"/>
      <c r="C2" s="2"/>
      <c r="D2" s="2"/>
      <c r="E2" s="2"/>
      <c r="F2" s="2"/>
      <c r="G2" s="2"/>
      <c r="H2" s="2"/>
      <c r="I2" s="3"/>
      <c r="J2" s="4"/>
    </row>
    <row r="3" spans="2:10" ht="21" x14ac:dyDescent="0.4">
      <c r="B3" s="5"/>
      <c r="C3" s="6" t="s">
        <v>0</v>
      </c>
      <c r="D3" s="4"/>
      <c r="E3" s="4"/>
      <c r="F3" s="4"/>
      <c r="G3" s="4"/>
      <c r="H3" s="4"/>
      <c r="I3" s="7"/>
      <c r="J3" s="4"/>
    </row>
    <row r="4" spans="2:10" x14ac:dyDescent="0.3">
      <c r="B4" s="5"/>
      <c r="C4" s="4"/>
      <c r="D4" s="4"/>
      <c r="E4" s="4"/>
      <c r="F4" s="4"/>
      <c r="G4" s="4"/>
      <c r="H4" s="4"/>
      <c r="I4" s="7"/>
      <c r="J4" s="4"/>
    </row>
    <row r="5" spans="2:10" ht="18" x14ac:dyDescent="0.35">
      <c r="B5" s="5"/>
      <c r="C5" s="8" t="s">
        <v>150</v>
      </c>
      <c r="D5" s="4"/>
      <c r="E5" s="4"/>
      <c r="F5" s="4"/>
      <c r="G5" s="4"/>
      <c r="H5" s="4"/>
      <c r="I5" s="7"/>
      <c r="J5" s="4"/>
    </row>
    <row r="6" spans="2:10" ht="7.5" customHeight="1" x14ac:dyDescent="0.35">
      <c r="B6" s="5"/>
      <c r="C6" s="8"/>
      <c r="D6" s="4"/>
      <c r="E6" s="4"/>
      <c r="F6" s="4"/>
      <c r="G6" s="4"/>
      <c r="H6" s="4"/>
      <c r="I6" s="7"/>
      <c r="J6" s="4"/>
    </row>
    <row r="7" spans="2:10" x14ac:dyDescent="0.3">
      <c r="B7" s="5"/>
      <c r="C7" s="4"/>
      <c r="D7" s="4"/>
      <c r="E7" s="4"/>
      <c r="F7" s="4"/>
      <c r="G7" s="4"/>
      <c r="H7" s="4"/>
      <c r="I7" s="7"/>
      <c r="J7" s="4"/>
    </row>
    <row r="8" spans="2:10" x14ac:dyDescent="0.3">
      <c r="B8" s="5"/>
      <c r="C8" s="10" t="s">
        <v>151</v>
      </c>
      <c r="D8" s="4"/>
      <c r="E8" s="4"/>
      <c r="F8" s="4"/>
      <c r="G8" s="4"/>
      <c r="H8" s="4"/>
      <c r="I8" s="7"/>
      <c r="J8" s="4"/>
    </row>
    <row r="9" spans="2:10" x14ac:dyDescent="0.3">
      <c r="B9" s="5"/>
      <c r="C9" s="10"/>
      <c r="D9" s="4"/>
      <c r="E9" s="4"/>
      <c r="F9" s="4"/>
      <c r="G9" s="4"/>
      <c r="H9" s="4"/>
      <c r="I9" s="7"/>
      <c r="J9" s="4"/>
    </row>
    <row r="10" spans="2:10" x14ac:dyDescent="0.3">
      <c r="B10" s="5"/>
      <c r="D10" s="68" t="s">
        <v>170</v>
      </c>
      <c r="E10" s="68" t="s">
        <v>173</v>
      </c>
      <c r="F10" s="68" t="s">
        <v>172</v>
      </c>
      <c r="G10" s="4"/>
      <c r="H10" s="4"/>
      <c r="I10" s="7"/>
      <c r="J10" s="4"/>
    </row>
    <row r="11" spans="2:10" x14ac:dyDescent="0.3">
      <c r="B11" s="5"/>
      <c r="C11" s="116" t="s">
        <v>61</v>
      </c>
      <c r="D11" s="117">
        <f t="array" ref="D11:F18">MMULT(Phase3_Input!D13:M20,Phase3_Input!D37:F46)/(MMULT(Phase3_Input!P13:Y20,Phase3_Input!D37:F46)+0.0001)</f>
        <v>4.9995000499950004</v>
      </c>
      <c r="E11" s="117">
        <v>4.9995000499950004</v>
      </c>
      <c r="F11" s="117">
        <v>4.9995000499950004</v>
      </c>
      <c r="G11" s="4"/>
      <c r="H11" s="4"/>
      <c r="I11" s="7"/>
      <c r="J11" s="4"/>
    </row>
    <row r="12" spans="2:10" x14ac:dyDescent="0.3">
      <c r="B12" s="5"/>
      <c r="C12" s="111" t="s">
        <v>60</v>
      </c>
      <c r="D12" s="117">
        <v>3.9996000399960003</v>
      </c>
      <c r="E12" s="117">
        <v>3.9996000399960003</v>
      </c>
      <c r="F12" s="117">
        <v>3.9996000399960003</v>
      </c>
      <c r="G12" s="4"/>
      <c r="H12" s="4"/>
      <c r="I12" s="7"/>
      <c r="J12" s="4"/>
    </row>
    <row r="13" spans="2:10" x14ac:dyDescent="0.3">
      <c r="B13" s="5"/>
      <c r="C13" s="111" t="s">
        <v>59</v>
      </c>
      <c r="D13" s="117">
        <v>4.4997750112494375</v>
      </c>
      <c r="E13" s="117">
        <v>3.9998000099994995</v>
      </c>
      <c r="F13" s="117">
        <v>4.4997750112494375</v>
      </c>
      <c r="G13" s="4"/>
      <c r="H13" s="4"/>
      <c r="I13" s="7"/>
      <c r="J13" s="4"/>
    </row>
    <row r="14" spans="2:10" x14ac:dyDescent="0.3">
      <c r="B14" s="5"/>
      <c r="C14" s="111" t="s">
        <v>58</v>
      </c>
      <c r="D14" s="117">
        <v>4.5999080018399638</v>
      </c>
      <c r="E14" s="117">
        <v>4.1999160016799664</v>
      </c>
      <c r="F14" s="117">
        <v>4.333188893703543</v>
      </c>
      <c r="G14" s="4"/>
      <c r="H14" s="4"/>
      <c r="I14" s="7"/>
      <c r="J14" s="4"/>
    </row>
    <row r="15" spans="2:10" x14ac:dyDescent="0.3">
      <c r="B15" s="5"/>
      <c r="C15" s="111" t="s">
        <v>57</v>
      </c>
      <c r="D15" s="117">
        <v>4.333261112314795</v>
      </c>
      <c r="E15" s="117">
        <v>4.499925001249979</v>
      </c>
      <c r="F15" s="117">
        <v>4.4998875028124301</v>
      </c>
      <c r="G15" s="4"/>
      <c r="H15" s="4"/>
      <c r="I15" s="7"/>
      <c r="J15" s="4"/>
    </row>
    <row r="16" spans="2:10" x14ac:dyDescent="0.3">
      <c r="B16" s="5"/>
      <c r="C16" s="111" t="s">
        <v>68</v>
      </c>
      <c r="D16" s="117">
        <v>4.9995000499950004</v>
      </c>
      <c r="E16" s="117">
        <v>3.9996000399960003</v>
      </c>
      <c r="F16" s="117">
        <v>4.9995000499950004</v>
      </c>
      <c r="G16" s="4"/>
      <c r="H16" s="4"/>
      <c r="I16" s="7"/>
      <c r="J16" s="4"/>
    </row>
    <row r="17" spans="2:10" x14ac:dyDescent="0.3">
      <c r="B17" s="5"/>
      <c r="C17" s="111" t="s">
        <v>69</v>
      </c>
      <c r="D17" s="117">
        <v>4.9995000499950004</v>
      </c>
      <c r="E17" s="117">
        <v>2.9997000299970003</v>
      </c>
      <c r="F17" s="117">
        <v>4.9995000499950004</v>
      </c>
      <c r="G17" s="4"/>
      <c r="H17" s="4"/>
      <c r="I17" s="7"/>
      <c r="J17" s="4"/>
    </row>
    <row r="18" spans="2:10" x14ac:dyDescent="0.3">
      <c r="B18" s="5"/>
      <c r="C18" s="111" t="s">
        <v>70</v>
      </c>
      <c r="D18" s="117">
        <v>4.9995000499950004</v>
      </c>
      <c r="E18" s="117">
        <v>3.9996000399960003</v>
      </c>
      <c r="F18" s="117">
        <v>4.9995000499950004</v>
      </c>
      <c r="G18" s="4"/>
      <c r="H18" s="4"/>
      <c r="I18" s="7"/>
      <c r="J18" s="4"/>
    </row>
    <row r="19" spans="2:10" x14ac:dyDescent="0.3">
      <c r="B19" s="5"/>
      <c r="C19" s="118" t="s">
        <v>152</v>
      </c>
      <c r="D19" s="119">
        <f>AVERAGE(D11:D18)</f>
        <v>4.6788180456725241</v>
      </c>
      <c r="E19" s="119">
        <f>AVERAGE(E11:E18)</f>
        <v>4.0872051516136807</v>
      </c>
      <c r="F19" s="119">
        <f>AVERAGE(F11:F18)</f>
        <v>4.6663064559676766</v>
      </c>
      <c r="G19" s="4"/>
      <c r="H19" s="4"/>
      <c r="I19" s="7"/>
      <c r="J19" s="4"/>
    </row>
    <row r="20" spans="2:10" x14ac:dyDescent="0.3">
      <c r="B20" s="5"/>
      <c r="C20" s="4"/>
      <c r="D20" s="4"/>
      <c r="E20" s="4"/>
      <c r="F20" s="4"/>
      <c r="G20" s="4"/>
      <c r="H20" s="4"/>
      <c r="I20" s="7"/>
      <c r="J20" s="4"/>
    </row>
    <row r="21" spans="2:10" x14ac:dyDescent="0.3">
      <c r="B21" s="5"/>
      <c r="C21" s="10" t="s">
        <v>153</v>
      </c>
      <c r="D21" s="4"/>
      <c r="E21" s="4"/>
      <c r="F21" s="4"/>
      <c r="G21" s="4"/>
      <c r="H21" s="4"/>
      <c r="I21" s="7"/>
      <c r="J21" s="4"/>
    </row>
    <row r="22" spans="2:10" x14ac:dyDescent="0.3">
      <c r="B22" s="5"/>
      <c r="C22" s="10"/>
      <c r="D22" s="4"/>
      <c r="E22" s="4"/>
      <c r="F22" s="4"/>
      <c r="G22" s="4"/>
      <c r="H22" s="4"/>
      <c r="I22" s="7"/>
      <c r="J22" s="4"/>
    </row>
    <row r="23" spans="2:10" x14ac:dyDescent="0.3">
      <c r="B23" s="5"/>
      <c r="D23" s="68" t="s">
        <v>170</v>
      </c>
      <c r="E23" s="68" t="s">
        <v>173</v>
      </c>
      <c r="F23" s="68" t="s">
        <v>172</v>
      </c>
      <c r="G23" s="4"/>
      <c r="H23" s="4"/>
      <c r="I23" s="7"/>
      <c r="J23" s="4"/>
    </row>
    <row r="24" spans="2:10" x14ac:dyDescent="0.3">
      <c r="B24" s="5"/>
      <c r="C24" s="111" t="s">
        <v>46</v>
      </c>
      <c r="D24" s="117">
        <f t="array" ref="D24:F29">MMULT(Phase1_Input!E13:L18,Phase3_Output!D11:F18)</f>
        <v>4.7495475441206443</v>
      </c>
      <c r="E24" s="117">
        <v>4.39958004099595</v>
      </c>
      <c r="F24" s="117">
        <v>4.7495475441206443</v>
      </c>
      <c r="G24" s="4"/>
      <c r="H24" s="4"/>
      <c r="I24" s="7"/>
      <c r="J24" s="4"/>
    </row>
    <row r="25" spans="2:10" x14ac:dyDescent="0.3">
      <c r="B25" s="5"/>
      <c r="C25" s="111" t="s">
        <v>43</v>
      </c>
      <c r="D25" s="117">
        <v>4.7597448211019788</v>
      </c>
      <c r="E25" s="117">
        <v>3.7198296130067803</v>
      </c>
      <c r="F25" s="117">
        <v>4.5997133562201258</v>
      </c>
      <c r="G25" s="4"/>
      <c r="H25" s="4"/>
      <c r="I25" s="7"/>
      <c r="J25" s="4"/>
    </row>
    <row r="26" spans="2:10" x14ac:dyDescent="0.3">
      <c r="B26" s="5"/>
      <c r="C26" s="111" t="s">
        <v>40</v>
      </c>
      <c r="D26" s="117">
        <v>4.6330144739230184</v>
      </c>
      <c r="E26" s="117">
        <v>4.1997300244975921</v>
      </c>
      <c r="F26" s="117">
        <v>4.6996650301220724</v>
      </c>
      <c r="G26" s="4"/>
      <c r="H26" s="4"/>
      <c r="I26" s="7"/>
      <c r="J26" s="4"/>
    </row>
    <row r="27" spans="2:10" x14ac:dyDescent="0.3">
      <c r="B27" s="5"/>
      <c r="C27" s="111" t="s">
        <v>71</v>
      </c>
      <c r="D27" s="117">
        <v>4.76626226145906</v>
      </c>
      <c r="E27" s="117">
        <v>4.0996650322467962</v>
      </c>
      <c r="F27" s="117">
        <v>4.799587539558587</v>
      </c>
      <c r="G27" s="4"/>
      <c r="H27" s="4"/>
      <c r="I27" s="7"/>
      <c r="J27" s="4"/>
    </row>
    <row r="28" spans="2:10" x14ac:dyDescent="0.3">
      <c r="B28" s="5"/>
      <c r="C28" s="111" t="s">
        <v>72</v>
      </c>
      <c r="D28" s="117">
        <v>4.7996100344967747</v>
      </c>
      <c r="E28" s="117">
        <v>3.9996800279974001</v>
      </c>
      <c r="F28" s="117">
        <v>4.7996100344967747</v>
      </c>
      <c r="G28" s="4"/>
      <c r="H28" s="4"/>
      <c r="I28" s="7"/>
      <c r="J28" s="4"/>
    </row>
    <row r="29" spans="2:10" x14ac:dyDescent="0.3">
      <c r="B29" s="5"/>
      <c r="C29" s="111" t="s">
        <v>73</v>
      </c>
      <c r="D29" s="117">
        <v>4.7996100344967756</v>
      </c>
      <c r="E29" s="117">
        <v>3.7997000259976002</v>
      </c>
      <c r="F29" s="117">
        <v>4.7996100344967756</v>
      </c>
      <c r="G29" s="4"/>
      <c r="H29" s="4"/>
      <c r="I29" s="7"/>
      <c r="J29" s="4"/>
    </row>
    <row r="30" spans="2:10" x14ac:dyDescent="0.3">
      <c r="B30" s="5"/>
      <c r="C30" s="118" t="s">
        <v>152</v>
      </c>
      <c r="D30" s="119">
        <f>AVERAGE(D24:D29)</f>
        <v>4.7512981949330415</v>
      </c>
      <c r="E30" s="119">
        <f>AVERAGE(E24:E29)</f>
        <v>4.0363641274570199</v>
      </c>
      <c r="F30" s="119">
        <f>AVERAGE(F24:F29)</f>
        <v>4.7412889231691633</v>
      </c>
      <c r="G30" s="4"/>
      <c r="H30" s="4"/>
      <c r="I30" s="7"/>
      <c r="J30" s="4"/>
    </row>
    <row r="31" spans="2:10" x14ac:dyDescent="0.3">
      <c r="B31" s="5"/>
      <c r="F31" s="4"/>
      <c r="G31" s="4"/>
      <c r="H31" s="4"/>
      <c r="I31" s="7"/>
      <c r="J31" s="4"/>
    </row>
    <row r="32" spans="2:10" x14ac:dyDescent="0.3">
      <c r="B32" s="5"/>
      <c r="C32" s="10" t="s">
        <v>154</v>
      </c>
      <c r="F32" s="4"/>
      <c r="G32" s="4"/>
      <c r="H32" s="4"/>
      <c r="I32" s="7"/>
      <c r="J32" s="4"/>
    </row>
    <row r="33" spans="2:13" x14ac:dyDescent="0.3">
      <c r="B33" s="5"/>
      <c r="F33" s="4"/>
      <c r="G33" s="4"/>
      <c r="H33" s="4"/>
      <c r="I33" s="7"/>
      <c r="J33" s="4"/>
    </row>
    <row r="34" spans="2:13" x14ac:dyDescent="0.3">
      <c r="B34" s="5"/>
      <c r="D34" s="68" t="s">
        <v>170</v>
      </c>
      <c r="E34" s="68" t="s">
        <v>173</v>
      </c>
      <c r="F34" s="68" t="s">
        <v>172</v>
      </c>
      <c r="G34" s="4"/>
      <c r="H34" s="4"/>
      <c r="I34" s="7"/>
      <c r="J34" s="4"/>
    </row>
    <row r="35" spans="2:13" x14ac:dyDescent="0.3">
      <c r="B35" s="5"/>
      <c r="C35" s="111" t="s">
        <v>146</v>
      </c>
      <c r="D35" s="68" t="str">
        <f>IF(Phase3_Input!Q37&gt;0, "Selected", "Not Selected")</f>
        <v>Not Selected</v>
      </c>
      <c r="E35" s="68" t="str">
        <f>IF(Phase3_Input!R37&gt;0, "Selected", "Not Selected")</f>
        <v>Not Selected</v>
      </c>
      <c r="F35" s="68" t="str">
        <f>IF(Phase3_Input!S37&gt;0, "Selected", "Not Selected")</f>
        <v>Not Selected</v>
      </c>
      <c r="G35" s="4"/>
      <c r="H35" s="4"/>
      <c r="I35" s="7"/>
      <c r="J35" s="4"/>
    </row>
    <row r="36" spans="2:13" x14ac:dyDescent="0.3">
      <c r="B36" s="5"/>
      <c r="C36" s="111" t="s">
        <v>147</v>
      </c>
      <c r="D36" s="68" t="str">
        <f>IF(Phase3_Input!Q38&gt;0, "Selected", "Not Selected")</f>
        <v>Not Selected</v>
      </c>
      <c r="E36" s="68" t="str">
        <f>IF(Phase3_Input!R38&gt;0, "Selected", "Not Selected")</f>
        <v>Not Selected</v>
      </c>
      <c r="F36" s="68" t="str">
        <f>IF(Phase3_Input!S38&gt;0, "Selected", "Not Selected")</f>
        <v>Not Selected</v>
      </c>
      <c r="G36" s="4"/>
      <c r="H36" s="4"/>
      <c r="I36" s="7"/>
      <c r="J36" s="4"/>
    </row>
    <row r="37" spans="2:13" x14ac:dyDescent="0.3">
      <c r="B37" s="5"/>
      <c r="C37" s="111" t="s">
        <v>148</v>
      </c>
      <c r="D37" s="68" t="str">
        <f>IF(Phase3_Input!Q39&gt;0, "Selected", "Not Selected")</f>
        <v>Not Selected</v>
      </c>
      <c r="E37" s="68" t="str">
        <f>IF(Phase3_Input!R39&gt;0, "Selected", "Not Selected")</f>
        <v>Not Selected</v>
      </c>
      <c r="F37" s="68" t="str">
        <f>IF(Phase3_Input!S39&gt;0, "Selected", "Not Selected")</f>
        <v>Not Selected</v>
      </c>
      <c r="G37" s="4"/>
      <c r="H37" s="4"/>
      <c r="I37" s="7"/>
      <c r="J37" s="4"/>
      <c r="L37" s="4"/>
      <c r="M37" s="4"/>
    </row>
    <row r="38" spans="2:13" x14ac:dyDescent="0.3">
      <c r="B38" s="5"/>
      <c r="C38" s="111" t="s">
        <v>80</v>
      </c>
      <c r="D38" s="68" t="str">
        <f>IF(Phase3_Input!Q40&gt;0, "Selected", "Not Selected")</f>
        <v>Selected</v>
      </c>
      <c r="E38" s="68" t="str">
        <f>IF(Phase3_Input!R40&gt;0, "Selected", "Not Selected")</f>
        <v>Selected</v>
      </c>
      <c r="F38" s="68" t="str">
        <f>IF(Phase3_Input!S40&gt;0, "Selected", "Not Selected")</f>
        <v>Selected</v>
      </c>
      <c r="G38" s="4"/>
      <c r="H38" s="4"/>
      <c r="I38" s="7"/>
      <c r="J38" s="4"/>
      <c r="L38" s="4"/>
      <c r="M38" s="4"/>
    </row>
    <row r="39" spans="2:13" x14ac:dyDescent="0.3">
      <c r="B39" s="5"/>
      <c r="C39" s="111" t="s">
        <v>82</v>
      </c>
      <c r="D39" s="68" t="str">
        <f>IF(Phase3_Input!Q41&gt;0, "Selected", "Not Selected")</f>
        <v>Selected</v>
      </c>
      <c r="E39" s="68" t="str">
        <f>IF(Phase3_Input!R41&gt;0, "Selected", "Not Selected")</f>
        <v>Selected</v>
      </c>
      <c r="F39" s="68" t="str">
        <f>IF(Phase3_Input!S41&gt;0, "Selected", "Not Selected")</f>
        <v>Selected</v>
      </c>
      <c r="G39" s="4"/>
      <c r="H39" s="4"/>
      <c r="I39" s="7"/>
      <c r="J39" s="4"/>
      <c r="L39" s="4"/>
      <c r="M39" s="4"/>
    </row>
    <row r="40" spans="2:13" x14ac:dyDescent="0.3">
      <c r="B40" s="5"/>
      <c r="C40" s="111" t="s">
        <v>87</v>
      </c>
      <c r="D40" s="68" t="str">
        <f>IF(Phase3_Input!Q42&gt;0, "Selected", "Not Selected")</f>
        <v>Not Selected</v>
      </c>
      <c r="E40" s="68" t="str">
        <f>IF(Phase3_Input!R42&gt;0, "Selected", "Not Selected")</f>
        <v>Not Selected</v>
      </c>
      <c r="F40" s="68" t="str">
        <f>IF(Phase3_Input!S42&gt;0, "Selected", "Not Selected")</f>
        <v>Not Selected</v>
      </c>
      <c r="G40" s="4"/>
      <c r="H40" s="4"/>
      <c r="I40" s="7"/>
      <c r="J40" s="4"/>
      <c r="L40" s="4"/>
      <c r="M40" s="4"/>
    </row>
    <row r="41" spans="2:13" x14ac:dyDescent="0.3">
      <c r="B41" s="5"/>
      <c r="F41" s="4"/>
      <c r="G41" s="4"/>
      <c r="H41" s="4"/>
      <c r="I41" s="7"/>
      <c r="J41" s="4"/>
      <c r="L41" s="4"/>
      <c r="M41" s="4"/>
    </row>
    <row r="42" spans="2:13" x14ac:dyDescent="0.3">
      <c r="B42" s="5"/>
      <c r="F42" s="4"/>
      <c r="G42" s="4"/>
      <c r="H42" s="4"/>
      <c r="I42" s="7"/>
      <c r="J42" s="4"/>
    </row>
    <row r="43" spans="2:13" ht="15" thickBot="1" x14ac:dyDescent="0.35">
      <c r="B43" s="35"/>
      <c r="C43" s="36"/>
      <c r="D43" s="36"/>
      <c r="E43" s="36"/>
      <c r="F43" s="36"/>
      <c r="G43" s="36"/>
      <c r="H43" s="36"/>
      <c r="I43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Phase1_Input</vt:lpstr>
      <vt:lpstr>Phase1_Output</vt:lpstr>
      <vt:lpstr>Phase2_Input</vt:lpstr>
      <vt:lpstr>Phase2_Output</vt:lpstr>
      <vt:lpstr>Phase3_Input</vt:lpstr>
      <vt:lpstr>Phase3_Output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kijung park 2</dc:creator>
  <cp:lastModifiedBy>kijung park</cp:lastModifiedBy>
  <dcterms:created xsi:type="dcterms:W3CDTF">2016-03-23T04:50:21Z</dcterms:created>
  <dcterms:modified xsi:type="dcterms:W3CDTF">2017-12-13T05:24:39Z</dcterms:modified>
</cp:coreProperties>
</file>